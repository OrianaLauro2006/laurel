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miriarte\Desktop\MouseWithoutBorders\"/>
    </mc:Choice>
  </mc:AlternateContent>
  <xr:revisionPtr revIDLastSave="0" documentId="13_ncr:1_{980A6897-5FA0-4D7A-B47B-2FC73B2167A3}" xr6:coauthVersionLast="47" xr6:coauthVersionMax="47" xr10:uidLastSave="{00000000-0000-0000-0000-000000000000}"/>
  <bookViews>
    <workbookView xWindow="-110" yWindow="-110" windowWidth="19420" windowHeight="11500" firstSheet="4" activeTab="4" xr2:uid="{00000000-000D-0000-FFFF-FFFF00000000}"/>
  </bookViews>
  <sheets>
    <sheet name="00_Inicio" sheetId="1" r:id="rId1"/>
    <sheet name="01_Interfaz_Celdas" sheetId="2" r:id="rId2"/>
    <sheet name="02_Copiar_Pegar" sheetId="3" r:id="rId3"/>
    <sheet name="03_Listas_Datos" sheetId="4" r:id="rId4"/>
    <sheet name="04_Formulas" sheetId="5" r:id="rId5"/>
    <sheet name="05_Referencias" sheetId="6" r:id="rId6"/>
    <sheet name="06_Impresion_PDF" sheetId="7" r:id="rId7"/>
    <sheet name="07_Practica_Final" sheetId="8" r:id="rId8"/>
    <sheet name="08_Soluciones" sheetId="9" r:id="rId9"/>
  </sheets>
  <definedNames>
    <definedName name="_xlnm.Print_Area" localSheetId="0" hidden="1">'00_Inicio'!$A$1:$I$30</definedName>
    <definedName name="_xlnm.Print_Area" localSheetId="1" hidden="1">'01_Interfaz_Celdas'!$A$1:$J$45</definedName>
    <definedName name="_xlnm.Print_Area" localSheetId="2" hidden="1">'02_Copiar_Pegar'!$A$1:$L$46</definedName>
    <definedName name="_xlnm.Print_Area" localSheetId="3" hidden="1">'03_Listas_Datos'!$A$1:$I$44</definedName>
    <definedName name="_xlnm.Print_Area" localSheetId="4" hidden="1">'04_Formulas'!$A$1:$L$33</definedName>
    <definedName name="_xlnm.Print_Area" localSheetId="5" hidden="1">'05_Referencias'!$A$1:$J$37</definedName>
    <definedName name="_xlnm.Print_Area" localSheetId="7" hidden="1">'07_Practica_Final'!$A$1:$M$31</definedName>
    <definedName name="_xlnm.Print_Area" localSheetId="8" hidden="1">'08_Soluciones'!$A$1:$J$59</definedName>
    <definedName name="_xlnm.Print_Titles" localSheetId="3" hidden="1">'03_Listas_Datos'!$7:$7</definedName>
    <definedName name="_xlnm.Print_Titles" localSheetId="6" hidden="1">'06_Impresion_PDF'!$16:$16</definedName>
    <definedName name="_xlnm.Print_Titles" localSheetId="7" hidden="1">'07_Practica_Final'!$17:$17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9" i="9" l="1"/>
  <c r="H59" i="9" s="1"/>
  <c r="G58" i="9"/>
  <c r="H58" i="9" s="1"/>
  <c r="G57" i="9"/>
  <c r="H57" i="9" s="1"/>
  <c r="G56" i="9"/>
  <c r="H56" i="9" s="1"/>
  <c r="G55" i="9"/>
  <c r="H55" i="9" s="1"/>
  <c r="G54" i="9"/>
  <c r="G53" i="9"/>
  <c r="H53" i="9" s="1"/>
  <c r="G52" i="9"/>
  <c r="H52" i="9" s="1"/>
  <c r="G51" i="9"/>
  <c r="H51" i="9" s="1"/>
  <c r="G50" i="9"/>
  <c r="H50" i="9" s="1"/>
  <c r="G49" i="9"/>
  <c r="H49" i="9" s="1"/>
  <c r="G48" i="9"/>
  <c r="H48" i="9" s="1"/>
  <c r="C48" i="9"/>
  <c r="G47" i="9"/>
  <c r="H47" i="9" s="1"/>
  <c r="G46" i="9"/>
  <c r="H46" i="9" s="1"/>
  <c r="D23" i="9"/>
  <c r="D22" i="9"/>
  <c r="D21" i="9"/>
  <c r="D20" i="9"/>
  <c r="D19" i="9"/>
  <c r="H40" i="7"/>
  <c r="H39" i="7"/>
  <c r="H38" i="7"/>
  <c r="H37" i="7"/>
  <c r="H36" i="7"/>
  <c r="H35" i="7"/>
  <c r="H34" i="7"/>
  <c r="H33" i="7"/>
  <c r="H32" i="7"/>
  <c r="H31" i="7"/>
  <c r="H30" i="7"/>
  <c r="H29" i="7"/>
  <c r="H28" i="7"/>
  <c r="H27" i="7"/>
  <c r="H26" i="7"/>
  <c r="H25" i="7"/>
  <c r="H24" i="7"/>
  <c r="H23" i="7"/>
  <c r="H22" i="7"/>
  <c r="H21" i="7"/>
  <c r="H20" i="7"/>
  <c r="H19" i="7"/>
  <c r="H18" i="7"/>
  <c r="H17" i="7"/>
  <c r="D20" i="6"/>
  <c r="E20" i="6" s="1"/>
  <c r="D19" i="6"/>
  <c r="E19" i="6" s="1"/>
  <c r="D18" i="6"/>
  <c r="E18" i="6" s="1"/>
  <c r="D17" i="6"/>
  <c r="E17" i="6" s="1"/>
  <c r="D16" i="6"/>
  <c r="E16" i="6" s="1"/>
  <c r="F18" i="5"/>
  <c r="F17" i="5"/>
  <c r="F16" i="5"/>
  <c r="F15" i="5"/>
  <c r="F14" i="5"/>
  <c r="J11" i="5"/>
  <c r="J10" i="5"/>
  <c r="J9" i="5"/>
  <c r="J8" i="5"/>
  <c r="J7" i="5"/>
  <c r="H37" i="4"/>
  <c r="H36" i="4"/>
  <c r="H35" i="4"/>
  <c r="H34" i="4"/>
  <c r="H33" i="4"/>
  <c r="H32" i="4"/>
  <c r="H31" i="4"/>
  <c r="H30" i="4"/>
  <c r="H29" i="4"/>
  <c r="H28" i="4"/>
  <c r="H27" i="4"/>
  <c r="H26" i="4"/>
  <c r="H25" i="4"/>
  <c r="H24" i="4"/>
  <c r="H23" i="4"/>
  <c r="H22" i="4"/>
  <c r="H21" i="4"/>
  <c r="H20" i="4"/>
  <c r="H19" i="4"/>
  <c r="H18" i="4"/>
  <c r="H17" i="4"/>
  <c r="H16" i="4"/>
  <c r="H15" i="4"/>
  <c r="H14" i="4"/>
  <c r="H13" i="4"/>
  <c r="H12" i="4"/>
  <c r="H11" i="4"/>
  <c r="H10" i="4"/>
  <c r="H9" i="4"/>
  <c r="H8" i="4"/>
  <c r="D18" i="3"/>
  <c r="D17" i="3"/>
  <c r="D16" i="3"/>
  <c r="D15" i="3"/>
  <c r="C47" i="9" l="1"/>
  <c r="H54" i="9"/>
  <c r="C49" i="9" s="1"/>
  <c r="C50" i="9" l="1"/>
  <c r="C46" i="9"/>
</calcChain>
</file>

<file path=xl/sharedStrings.xml><?xml version="1.0" encoding="utf-8"?>
<sst xmlns="http://schemas.openxmlformats.org/spreadsheetml/2006/main" count="862" uniqueCount="523">
  <si>
    <t>Excel básico — guía paso a paso con práctica</t>
  </si>
  <si>
    <t>Recorré las hojas en orden. Leé la explicación, observá el ejemplo verde y completá las celdas amarillas.</t>
  </si>
  <si>
    <t>Color</t>
  </si>
  <si>
    <t>Significado</t>
  </si>
  <si>
    <t>Cómo usar este archivo</t>
  </si>
  <si>
    <t>Azul claro</t>
  </si>
  <si>
    <t>Explicación o pasos</t>
  </si>
  <si>
    <t>1) Empezá por la hoja 01_Interfaz_Celdas.
2) No borres los ejemplos verdes: usalos como referencia.
3) Escribí solamente en las celdas amarillas.
4) En 08_Soluciones podés comprobar fórmulas y resultados.
5) Guardá una copia antes de practicar para poder reiniciar.</t>
  </si>
  <si>
    <t>Verde</t>
  </si>
  <si>
    <t>Ejemplo resuelto</t>
  </si>
  <si>
    <t>Amarillo</t>
  </si>
  <si>
    <t>Celda para practicar</t>
  </si>
  <si>
    <t>Gris</t>
  </si>
  <si>
    <t>Consejo o referencia</t>
  </si>
  <si>
    <t>Recorrido recomendado</t>
  </si>
  <si>
    <t>Orden</t>
  </si>
  <si>
    <t>Hoja</t>
  </si>
  <si>
    <t>Tema</t>
  </si>
  <si>
    <t>Objetivo práctico</t>
  </si>
  <si>
    <t>Estado</t>
  </si>
  <si>
    <t>01_Interfaz_Celdas</t>
  </si>
  <si>
    <t>Interfaz, celdas y autorrelleno</t>
  </si>
  <si>
    <t>Ingresar, editar y completar series</t>
  </si>
  <si>
    <t>Pendiente</t>
  </si>
  <si>
    <t>02_Copiar_Pegar</t>
  </si>
  <si>
    <t>Copiar, pegar especial y diseño</t>
  </si>
  <si>
    <t>Distinguir valores, fórmulas y formatos</t>
  </si>
  <si>
    <t>03_Listas_Datos</t>
  </si>
  <si>
    <t>Filtros, orden, búsqueda e inmovilización</t>
  </si>
  <si>
    <t>Trabajar con una lista extensa</t>
  </si>
  <si>
    <t>04_Formulas</t>
  </si>
  <si>
    <t>Fórmulas manuales y funciones básicas</t>
  </si>
  <si>
    <t>Escribir y copiar fórmulas</t>
  </si>
  <si>
    <t>05_Referencias</t>
  </si>
  <si>
    <t>Referencias relativas y absolutas</t>
  </si>
  <si>
    <t>Usar el símbolo $ correctamente</t>
  </si>
  <si>
    <t>06_Impresion_PDF</t>
  </si>
  <si>
    <t>Área de impresión y exportación PDF</t>
  </si>
  <si>
    <t>Evitar tablas cortadas</t>
  </si>
  <si>
    <t>07_Practica_Final</t>
  </si>
  <si>
    <t>Ejercicio integrador</t>
  </si>
  <si>
    <t>Aplicar todos los temas</t>
  </si>
  <si>
    <t>Atajos esenciales</t>
  </si>
  <si>
    <t>Acción</t>
  </si>
  <si>
    <t>Atajo</t>
  </si>
  <si>
    <t>Uso</t>
  </si>
  <si>
    <t>Copiar</t>
  </si>
  <si>
    <t>Ctrl + C</t>
  </si>
  <si>
    <t>Copia el contenido seleccionado.</t>
  </si>
  <si>
    <t>Pegar</t>
  </si>
  <si>
    <t>Ctrl + V</t>
  </si>
  <si>
    <t>Pega el contenido copiado.</t>
  </si>
  <si>
    <t>Deshacer</t>
  </si>
  <si>
    <t>Ctrl + Z</t>
  </si>
  <si>
    <t>Revierte la última acción.</t>
  </si>
  <si>
    <t>Buscar</t>
  </si>
  <si>
    <t>Ctrl + B</t>
  </si>
  <si>
    <t>Abre Buscar en Excel en español.</t>
  </si>
  <si>
    <t>Reemplazar</t>
  </si>
  <si>
    <t>Ctrl + L</t>
  </si>
  <si>
    <t>Abre Buscar y reemplazar en Excel en español.</t>
  </si>
  <si>
    <t>Relleno rápido</t>
  </si>
  <si>
    <t>Ctrl + E</t>
  </si>
  <si>
    <t>Detecta un patrón y completa datos.</t>
  </si>
  <si>
    <t>Guardar</t>
  </si>
  <si>
    <t>Ctrl + G</t>
  </si>
  <si>
    <t>Guarda el archivo en Excel en español.</t>
  </si>
  <si>
    <t>Alternar referencia</t>
  </si>
  <si>
    <t>F4</t>
  </si>
  <si>
    <t>Agrega o cambia los símbolos $ en una fórmula.</t>
  </si>
  <si>
    <t>1. Interfaz de Excel, celdas y autorrelleno</t>
  </si>
  <si>
    <t>Objetivo: reconocer las partes de Excel, ingresar distintos tipos de datos, ajustar columnas y completar patrones.</t>
  </si>
  <si>
    <t>Partes principales de la interfaz</t>
  </si>
  <si>
    <t>Elemento</t>
  </si>
  <si>
    <t>Dónde está</t>
  </si>
  <si>
    <t>Para qué sirve</t>
  </si>
  <si>
    <t>Cinta de opciones</t>
  </si>
  <si>
    <t>Parte superior</t>
  </si>
  <si>
    <t>Agrupa herramientas en pestañas: Inicio, Insertar, Diseño de página, Fórmulas, Datos, Revisar y Vista.</t>
  </si>
  <si>
    <t>Barra de acceso rápido</t>
  </si>
  <si>
    <t>Esquina superior izquierda</t>
  </si>
  <si>
    <t>Accesos a Guardar, Deshacer y Rehacer. Se puede personalizar.</t>
  </si>
  <si>
    <t>Cuadro de nombres</t>
  </si>
  <si>
    <t>A la izquierda de la barra de fórmulas</t>
  </si>
  <si>
    <t>Muestra la celda activa (por ejemplo A1) y permite ir directamente a una celda o rango.</t>
  </si>
  <si>
    <t>Barra de fórmulas</t>
  </si>
  <si>
    <t>Debajo de la cinta</t>
  </si>
  <si>
    <t>Muestra y permite editar el contenido completo de la celda activa.</t>
  </si>
  <si>
    <t>Encabezados de filas y columnas</t>
  </si>
  <si>
    <t>Letras arriba y números a la izquierda</t>
  </si>
  <si>
    <t>Permiten identificar y seleccionar filas, columnas y celdas.</t>
  </si>
  <si>
    <t>Pestañas de hojas</t>
  </si>
  <si>
    <t>Parte inferior</t>
  </si>
  <si>
    <t>Cambian entre hojas, permiten crear, mover, copiar, renombrar o eliminar hojas.</t>
  </si>
  <si>
    <t>Barra de estado</t>
  </si>
  <si>
    <t>Muestra suma, promedio y recuento de una selección, además del zoom y las vistas.</t>
  </si>
  <si>
    <t>Barras de desplazamiento</t>
  </si>
  <si>
    <t>Derecha e inferior</t>
  </si>
  <si>
    <t>Permiten recorrer zonas de la hoja que no están visibles.</t>
  </si>
  <si>
    <t>Ingresar y editar datos</t>
  </si>
  <si>
    <t>Paso</t>
  </si>
  <si>
    <t>Qué hacer</t>
  </si>
  <si>
    <t>1. Seleccionar una celda</t>
  </si>
  <si>
    <t>Hacé clic sobre la celda. El borde indica cuál está activa.</t>
  </si>
  <si>
    <t>2. Ingresar contenido</t>
  </si>
  <si>
    <t>Escribí texto, números o fechas y presioná Enter. Usá Tab para pasar a la celda de la derecha.</t>
  </si>
  <si>
    <t>3. Editar</t>
  </si>
  <si>
    <t>Hacé doble clic en la celda o seleccionála y editá desde la barra de fórmulas.</t>
  </si>
  <si>
    <t>4. Borrar</t>
  </si>
  <si>
    <t>Presioná Supr para quitar el contenido sin eliminar el formato.</t>
  </si>
  <si>
    <t>5. Ajustar columnas</t>
  </si>
  <si>
    <t>Ubicá el cursor entre dos letras de columna. Arrastrá o hacé doble clic para autoajustar.</t>
  </si>
  <si>
    <t>Tipo de dato</t>
  </si>
  <si>
    <t>Ejemplo</t>
  </si>
  <si>
    <t>Cómo lo interpreta Excel</t>
  </si>
  <si>
    <t>Practicá aquí</t>
  </si>
  <si>
    <t>Resultado esperado</t>
  </si>
  <si>
    <t>Consejo</t>
  </si>
  <si>
    <t>Texto</t>
  </si>
  <si>
    <t>Producto A</t>
  </si>
  <si>
    <t>Etiqueta o descripción</t>
  </si>
  <si>
    <t>Escribí un texto</t>
  </si>
  <si>
    <t>Texto alineado normalmente a la izquierda</t>
  </si>
  <si>
    <t>Para conservar ceros iniciales, usá formato Texto.</t>
  </si>
  <si>
    <t>Número</t>
  </si>
  <si>
    <t>Valor que puede calcularse</t>
  </si>
  <si>
    <t>Número alineado normalmente a la derecha</t>
  </si>
  <si>
    <t>No escribas el símbolo de moneda dentro del valor.</t>
  </si>
  <si>
    <t>Porcentaje</t>
  </si>
  <si>
    <t>Valor decimal mostrado como porcentaje</t>
  </si>
  <si>
    <t>15%</t>
  </si>
  <si>
    <t>Podés escribir 15% directamente.</t>
  </si>
  <si>
    <t>Fecha</t>
  </si>
  <si>
    <t>Número de serie con formato fecha</t>
  </si>
  <si>
    <t>19/07/2026</t>
  </si>
  <si>
    <t>Las fechas se pueden ordenar y restar.</t>
  </si>
  <si>
    <t>Código como texto</t>
  </si>
  <si>
    <t>00125</t>
  </si>
  <si>
    <t>Texto que conserva ceros</t>
  </si>
  <si>
    <t>00077</t>
  </si>
  <si>
    <t>Aplicá formato Texto antes de escribir.</t>
  </si>
  <si>
    <t>Autorrelleno: series y Relleno rápido</t>
  </si>
  <si>
    <t>Controlador de relleno: seleccioná las primeras celdas del patrón y arrastrá el pequeño cuadrado de la esquina inferior derecha.
Relleno rápido (Ctrl + E): escribí uno o dos ejemplos del resultado deseado y Excel detectará el patrón.</t>
  </si>
  <si>
    <t>Serie</t>
  </si>
  <si>
    <t>Inicio 1</t>
  </si>
  <si>
    <t>Inicio 2</t>
  </si>
  <si>
    <t>Continuar aquí</t>
  </si>
  <si>
    <t>Números</t>
  </si>
  <si>
    <t>3, 4, 5, 6</t>
  </si>
  <si>
    <t>Seleccioná B36:C36 y arrastrá hasta F36.</t>
  </si>
  <si>
    <t>Días</t>
  </si>
  <si>
    <t>lunes</t>
  </si>
  <si>
    <t>martes</t>
  </si>
  <si>
    <t>miércoles a sábado</t>
  </si>
  <si>
    <t>Seleccioná B37:C37 y arrastrá hasta F37.</t>
  </si>
  <si>
    <t>Fechas</t>
  </si>
  <si>
    <t>03/07/2026 a 06/07/2026</t>
  </si>
  <si>
    <t>Seleccioná B38:C38 y arrastrá hasta F38.</t>
  </si>
  <si>
    <t>Nombre completo</t>
  </si>
  <si>
    <t>Nombre extraído</t>
  </si>
  <si>
    <t>Apellido extraído</t>
  </si>
  <si>
    <t>Instrucción</t>
  </si>
  <si>
    <t>Ana Torres</t>
  </si>
  <si>
    <t>Ana</t>
  </si>
  <si>
    <t>Torres</t>
  </si>
  <si>
    <t>Ejemplo inicial</t>
  </si>
  <si>
    <t>Carlos Gómez</t>
  </si>
  <si>
    <t>Escribí Carlos en B42, Gómez en C42 y luego usá Ctrl + E hacia abajo.</t>
  </si>
  <si>
    <t>Lucía Pérez</t>
  </si>
  <si>
    <t>Martín López</t>
  </si>
  <si>
    <t>Sofía Díaz</t>
  </si>
  <si>
    <t>2. Copiar, pegar especial y diseño visual</t>
  </si>
  <si>
    <t>Objetivo: copiar contenido sin errores, elegir qué parte pegar y aplicar formatos profesionales a una tabla.</t>
  </si>
  <si>
    <t>Copiar y pegar: pasos esenciales</t>
  </si>
  <si>
    <t>1. Seleccionar</t>
  </si>
  <si>
    <t>Marcá la celda o rango que querés copiar.</t>
  </si>
  <si>
    <t>2. Copiar</t>
  </si>
  <si>
    <t>Presioná Ctrl + C. Verás un borde móvil alrededor de la selección.</t>
  </si>
  <si>
    <t>3. Elegir destino</t>
  </si>
  <si>
    <t>Hacé clic en la primera celda donde querés colocar la copia.</t>
  </si>
  <si>
    <t>4. Pegar</t>
  </si>
  <si>
    <t>Presioná Ctrl + V para pegar contenido, fórmulas y formato.</t>
  </si>
  <si>
    <t>5. Pegar especial</t>
  </si>
  <si>
    <t>Usá Inicio &gt; Pegar &gt; Pegado especial para decidir si querés valores, fórmulas, formatos, transponer o realizar una operación.</t>
  </si>
  <si>
    <t>Ejemplo: diferencia entre fórmulas y valores</t>
  </si>
  <si>
    <t>Producto</t>
  </si>
  <si>
    <t>Cantidad</t>
  </si>
  <si>
    <t>Precio</t>
  </si>
  <si>
    <t>Total</t>
  </si>
  <si>
    <t>Fórmula visible</t>
  </si>
  <si>
    <t>Pegado como valores</t>
  </si>
  <si>
    <t>Total fijo</t>
  </si>
  <si>
    <t>Qué ocurre</t>
  </si>
  <si>
    <t>Teclado</t>
  </si>
  <si>
    <t>=B15*C15</t>
  </si>
  <si>
    <t>El número no cambia aunque se modifique el origen.</t>
  </si>
  <si>
    <t>Mouse</t>
  </si>
  <si>
    <t>=B16*C16</t>
  </si>
  <si>
    <t>Auriculares</t>
  </si>
  <si>
    <t>=B17*C17</t>
  </si>
  <si>
    <t>Webcam</t>
  </si>
  <si>
    <t>=B18*C18</t>
  </si>
  <si>
    <t>Opciones de Pegado especial</t>
  </si>
  <si>
    <t>Opción</t>
  </si>
  <si>
    <t>Qué pega</t>
  </si>
  <si>
    <t>Cuándo usarla</t>
  </si>
  <si>
    <t>Valores</t>
  </si>
  <si>
    <t>Solo el resultado visible</t>
  </si>
  <si>
    <t>Para quitar fórmulas y conservar los resultados.</t>
  </si>
  <si>
    <t>Fórmulas</t>
  </si>
  <si>
    <t>Solo las fórmulas</t>
  </si>
  <si>
    <t>Para copiar cálculos sin copiar colores ni bordes.</t>
  </si>
  <si>
    <t>Formatos</t>
  </si>
  <si>
    <t>Solo diseño</t>
  </si>
  <si>
    <t>Para repetir moneda, bordes, colores y alineación.</t>
  </si>
  <si>
    <t>Transponer</t>
  </si>
  <si>
    <t>Cambia filas por columnas</t>
  </si>
  <si>
    <t>Para girar una tabla horizontal a vertical o viceversa.</t>
  </si>
  <si>
    <t>Multiplicar / sumar</t>
  </si>
  <si>
    <t>Aplica una operación al destino</t>
  </si>
  <si>
    <t>Para aumentar precios o ajustar datos sin crear una fórmula auxiliar.</t>
  </si>
  <si>
    <t>Práctica de Pegado especial: aumentar precios un 10%</t>
  </si>
  <si>
    <t>Precio original</t>
  </si>
  <si>
    <t>Factor</t>
  </si>
  <si>
    <t>Precio a modificar</t>
  </si>
  <si>
    <t>Pasos</t>
  </si>
  <si>
    <t>Cuaderno</t>
  </si>
  <si>
    <t>Copiá C30. Seleccioná D30:D34. Pegado especial &gt; Multiplicar.</t>
  </si>
  <si>
    <t>Lapicera</t>
  </si>
  <si>
    <t>Mochila</t>
  </si>
  <si>
    <t>Regla</t>
  </si>
  <si>
    <t>Calculadora</t>
  </si>
  <si>
    <t>Diseño visual de tablas</t>
  </si>
  <si>
    <t>Tabla sin formato</t>
  </si>
  <si>
    <t>Importe</t>
  </si>
  <si>
    <t>Margen</t>
  </si>
  <si>
    <t>Tabla con diseño profesional</t>
  </si>
  <si>
    <t>Venta 001</t>
  </si>
  <si>
    <t>Pagada</t>
  </si>
  <si>
    <t>Venta 002</t>
  </si>
  <si>
    <t>Venta 003</t>
  </si>
  <si>
    <t>Venta 004</t>
  </si>
  <si>
    <t>Cancelada</t>
  </si>
  <si>
    <t>Venta 005</t>
  </si>
  <si>
    <t>Práctica: aplicá a la tabla de la izquierda un encabezado destacado, formato moneda en Importe, porcentaje en Margen, fecha dd/mm/aaaa, bordes finos y alineación coherente. Usá Copiar formato o Pegado especial &gt; Formatos si querés replicar el diseño de la derecha.</t>
  </si>
  <si>
    <t>3. Manejo de listas: filtros, orden, búsqueda e inmovilización</t>
  </si>
  <si>
    <t>Objetivo: trabajar con una lista extensa sin perder los encabezados y encontrar rápidamente la información necesaria.</t>
  </si>
  <si>
    <t>Practicá sobre la tabla: 1) filtrá Estado = Pendiente; 2) ordená Vendedor de A a Z; 3) ordená Total de mayor a menor; 4) buscá “Córdoba” y reemplazalo por “Córdoba Capital”; 5) hacé scroll y comprobá que el encabezado permanece visible.</t>
  </si>
  <si>
    <t>ID</t>
  </si>
  <si>
    <t>Vendedor</t>
  </si>
  <si>
    <t>Provincia</t>
  </si>
  <si>
    <t>Categoría</t>
  </si>
  <si>
    <t>Unidades</t>
  </si>
  <si>
    <t>Precio unitario</t>
  </si>
  <si>
    <t>Buenos Aires</t>
  </si>
  <si>
    <t>Tecnología</t>
  </si>
  <si>
    <t>Entregado</t>
  </si>
  <si>
    <t>Bruno</t>
  </si>
  <si>
    <t>Santa Fe</t>
  </si>
  <si>
    <t>Accesorios</t>
  </si>
  <si>
    <t>Carla</t>
  </si>
  <si>
    <t>Tucumán</t>
  </si>
  <si>
    <t>Hogar</t>
  </si>
  <si>
    <t>Diego</t>
  </si>
  <si>
    <t>Córdoba</t>
  </si>
  <si>
    <t>Oficina</t>
  </si>
  <si>
    <t>Elena</t>
  </si>
  <si>
    <t>Mendoza</t>
  </si>
  <si>
    <t>Cancelado</t>
  </si>
  <si>
    <t>Federico</t>
  </si>
  <si>
    <t>Cómo usar cada herramienta</t>
  </si>
  <si>
    <t>Herramienta</t>
  </si>
  <si>
    <t>Ruta y pasos</t>
  </si>
  <si>
    <t>Filtro</t>
  </si>
  <si>
    <t>Seleccioná una celda de la lista &gt; Datos &gt; Filtro. Usá la flecha del encabezado para marcar valores o aplicar condiciones.</t>
  </si>
  <si>
    <t>Ordenar A a Z</t>
  </si>
  <si>
    <t>Abrí la flecha del encabezado de texto &gt; Ordenar de A a Z. Para números, elegí de menor a mayor o de mayor a menor.</t>
  </si>
  <si>
    <t>Buscar y reemplazar</t>
  </si>
  <si>
    <t>Ctrl + B para buscar. Ctrl + L para reemplazar. Revisá las opciones para buscar en la hoja o en todo el libro.</t>
  </si>
  <si>
    <t>Inmovilizar títulos</t>
  </si>
  <si>
    <t>Vista &gt; Inmovilizar &gt; Inmovilizar paneles. Primero seleccioná la celda debajo y a la derecha de lo que querés mantener fijo.</t>
  </si>
  <si>
    <t>4. Fórmulas manuales y funciones obligatorias</t>
  </si>
  <si>
    <t>Objetivo: entender cómo comienza una fórmula, usar operadores y aplicar SUMA, PROMEDIO, CONTAR, MAX y MIN.</t>
  </si>
  <si>
    <t>Anatomía de una fórmula</t>
  </si>
  <si>
    <t>Funciones básicas</t>
  </si>
  <si>
    <t>Concepto</t>
  </si>
  <si>
    <t>Explicación</t>
  </si>
  <si>
    <t>Función</t>
  </si>
  <si>
    <t>Fórmula en Excel español</t>
  </si>
  <si>
    <t>Resultado</t>
  </si>
  <si>
    <t>Qué devuelve</t>
  </si>
  <si>
    <t>Signo igual</t>
  </si>
  <si>
    <t>=B2+C2</t>
  </si>
  <si>
    <t>Toda fórmula comienza con =.</t>
  </si>
  <si>
    <t>SUMA</t>
  </si>
  <si>
    <t>=SUMA(B14:E18)</t>
  </si>
  <si>
    <t>Suma todos los valores.</t>
  </si>
  <si>
    <t>Referencias</t>
  </si>
  <si>
    <t>=B2*C2</t>
  </si>
  <si>
    <t>B2 y C2 indican las celdas utilizadas.</t>
  </si>
  <si>
    <t>PROMEDIO</t>
  </si>
  <si>
    <t>=PROMEDIO(B14:E18)</t>
  </si>
  <si>
    <t>Calcula la media aritmética.</t>
  </si>
  <si>
    <t>Operadores</t>
  </si>
  <si>
    <t>+  -  *  /  ^</t>
  </si>
  <si>
    <t>Suma, resta, multiplicación, división y potencia.</t>
  </si>
  <si>
    <t>CONTAR</t>
  </si>
  <si>
    <t>=CONTAR(B14:E18)</t>
  </si>
  <si>
    <t>Cuenta celdas que contienen números.</t>
  </si>
  <si>
    <t>Paréntesis</t>
  </si>
  <si>
    <t>=(B2+C2)*D2</t>
  </si>
  <si>
    <t>Controlan qué operación se realiza primero.</t>
  </si>
  <si>
    <t>MAX</t>
  </si>
  <si>
    <t>=MAX(B14:E18)</t>
  </si>
  <si>
    <t>Devuelve el número más alto.</t>
  </si>
  <si>
    <t>MIN</t>
  </si>
  <si>
    <t>=MIN(B14:E18)</t>
  </si>
  <si>
    <t>Devuelve el número más bajo.</t>
  </si>
  <si>
    <t>Ejemplo de cálculo manual</t>
  </si>
  <si>
    <t>Enero</t>
  </si>
  <si>
    <t>Febrero</t>
  </si>
  <si>
    <t>Marzo</t>
  </si>
  <si>
    <t>Abril</t>
  </si>
  <si>
    <t>Total por producto</t>
  </si>
  <si>
    <t>Producto B</t>
  </si>
  <si>
    <t>Producto C</t>
  </si>
  <si>
    <t>Producto D</t>
  </si>
  <si>
    <t>Producto E</t>
  </si>
  <si>
    <t>Práctica: escribí las funciones manualmente</t>
  </si>
  <si>
    <t>Día</t>
  </si>
  <si>
    <t>Visitas</t>
  </si>
  <si>
    <t>Ventas</t>
  </si>
  <si>
    <t>Cálculo</t>
  </si>
  <si>
    <t>Fórmula a ingresar</t>
  </si>
  <si>
    <t>Lunes</t>
  </si>
  <si>
    <t>Total de ventas</t>
  </si>
  <si>
    <t>=SUMA(C23:C29)</t>
  </si>
  <si>
    <t>Martes</t>
  </si>
  <si>
    <t>Promedio de visitas</t>
  </si>
  <si>
    <t>=PROMEDIO(B23:B29)</t>
  </si>
  <si>
    <t>Miércoles</t>
  </si>
  <si>
    <t>Cantidad de días con datos</t>
  </si>
  <si>
    <t>=CONTAR(C23:C29)</t>
  </si>
  <si>
    <t>Jueves</t>
  </si>
  <si>
    <t>Mayor cantidad de ventas</t>
  </si>
  <si>
    <t>=MAX(C23:C29)</t>
  </si>
  <si>
    <t>Viernes</t>
  </si>
  <si>
    <t>Menor cantidad de ventas</t>
  </si>
  <si>
    <t>=MIN(C23:C29)</t>
  </si>
  <si>
    <t>Sábado</t>
  </si>
  <si>
    <t>Domingo</t>
  </si>
  <si>
    <t>Consejos: escribí las fórmulas sin espacios innecesarios; comprobá que el rango incluya todas las filas; usá el controlador de relleno para copiar una fórmula; y revisá la barra de fórmulas si el resultado no es el esperado.</t>
  </si>
  <si>
    <t>5. Referencias relativas y absolutas</t>
  </si>
  <si>
    <t>Objetivo: copiar fórmulas correctamente y congelar una celda con $ para que no cambie al arrastrar.</t>
  </si>
  <si>
    <t>Tipos de referencia</t>
  </si>
  <si>
    <t>Tipo</t>
  </si>
  <si>
    <t>Qué cambia al copiar</t>
  </si>
  <si>
    <t>Uso típico</t>
  </si>
  <si>
    <t>Relativa</t>
  </si>
  <si>
    <t>B8</t>
  </si>
  <si>
    <t>Cambian fila y columna.</t>
  </si>
  <si>
    <t>Cálculos que deben adaptarse a cada fila.</t>
  </si>
  <si>
    <t>Absoluta</t>
  </si>
  <si>
    <t>$B$4</t>
  </si>
  <si>
    <t>No cambia ni fila ni columna.</t>
  </si>
  <si>
    <t>Impuestos, descuentos, cotizaciones o constantes.</t>
  </si>
  <si>
    <t>Mixta</t>
  </si>
  <si>
    <t>$B8 o B$8</t>
  </si>
  <si>
    <t>Se congela solo columna o fila.</t>
  </si>
  <si>
    <t>Tablas de multiplicación y matrices.</t>
  </si>
  <si>
    <t>Tasa de IVA</t>
  </si>
  <si>
    <t>F4 dentro de la fórmula</t>
  </si>
  <si>
    <t>Ejemplo resuelto con referencia absoluta</t>
  </si>
  <si>
    <t>Qué sucede al copiar</t>
  </si>
  <si>
    <t>Precio base</t>
  </si>
  <si>
    <t>Subtotal</t>
  </si>
  <si>
    <t>Total con IVA</t>
  </si>
  <si>
    <t>En D16, la fórmula =B16*C16 usa referencias relativas: al copiar hacia abajo se transforma en B17*C17, B18*C18, etc.
En E16, la fórmula =D16*(1+$B$11) mantiene fija la tasa de IVA. D16 cambia por fila, pero $B$11 permanece igual.</t>
  </si>
  <si>
    <t>Monitor</t>
  </si>
  <si>
    <t>Práctica: aplicar un descuento fijo</t>
  </si>
  <si>
    <t>Descuento</t>
  </si>
  <si>
    <t>Fórmula sugerida</t>
  </si>
  <si>
    <t>=B28*(1-$B$24)</t>
  </si>
  <si>
    <t>Precio normal</t>
  </si>
  <si>
    <t>Precio con descuento</t>
  </si>
  <si>
    <t>Silla</t>
  </si>
  <si>
    <t>Ingresá la fórmula en C28 y arrastrá hasta C33.</t>
  </si>
  <si>
    <t>Escritorio</t>
  </si>
  <si>
    <t>Lámpara</t>
  </si>
  <si>
    <t>Biblioteca</t>
  </si>
  <si>
    <t>Organizador</t>
  </si>
  <si>
    <t>Alfombra</t>
  </si>
  <si>
    <t>Cómo agregar $: mientras editás una referencia dentro de una fórmula, presioná F4. Cada pulsación alterna entre $B$24, B$24, $B24 y B24.</t>
  </si>
  <si>
    <t>6. Configuración profesional de impresión y PDF</t>
  </si>
  <si>
    <t>Objetivo: definir qué se imprime, ajustar la tabla a una página de ancho y exportar a PDF sin cortes.</t>
  </si>
  <si>
    <t>Pasos recomendados</t>
  </si>
  <si>
    <t>1. Seleccionar la tabla</t>
  </si>
  <si>
    <t>Marcá el rango completo, incluyendo título y encabezados.</t>
  </si>
  <si>
    <t>2. Definir área de impresión</t>
  </si>
  <si>
    <t>Diseño de página &gt; Área de impresión &gt; Establecer área de impresión.</t>
  </si>
  <si>
    <t>3. Elegir orientación</t>
  </si>
  <si>
    <t>Usá Horizontal cuando la tabla tenga muchas columnas.</t>
  </si>
  <si>
    <t>4. Ajustar escala</t>
  </si>
  <si>
    <t>En Escala para ajustar: Ancho = 1 página y Alto = Automático.</t>
  </si>
  <si>
    <t>5. Configurar márgenes</t>
  </si>
  <si>
    <t>Elegí Márgenes estrechos o personalizados y centrado horizontal si es necesario.</t>
  </si>
  <si>
    <t>6. Revisar saltos</t>
  </si>
  <si>
    <t>Vista &gt; Vista previa de salto de página. Arrastrá las líneas si una columna queda afuera.</t>
  </si>
  <si>
    <t>7. Exportar PDF</t>
  </si>
  <si>
    <t>Archivo &gt; Exportar o Guardar como &gt; PDF. Revisá la vista previa antes de guardar.</t>
  </si>
  <si>
    <t>Tabla de práctica incluida en el área de impresión</t>
  </si>
  <si>
    <t>N.º</t>
  </si>
  <si>
    <t>Cliente</t>
  </si>
  <si>
    <t>Alfa SRL</t>
  </si>
  <si>
    <t>Notebook</t>
  </si>
  <si>
    <t>Beta SA</t>
  </si>
  <si>
    <t>Gamma SAS</t>
  </si>
  <si>
    <t>Impresora</t>
  </si>
  <si>
    <t>Delta SRL</t>
  </si>
  <si>
    <t>Router</t>
  </si>
  <si>
    <t>Épsilon SA</t>
  </si>
  <si>
    <t>Disco SSD</t>
  </si>
  <si>
    <t>Este archivo ya está configurado para imprimir A1:H40 en orientación horizontal, con márgenes reducidos y ajuste a una página de ancho. Usá esta hoja para comparar la vista previa con tus propias configuraciones.</t>
  </si>
  <si>
    <t>7. Práctica final integradora</t>
  </si>
  <si>
    <t>Completá el ejercicio sin mirar la hoja de soluciones. Las celdas amarillas requieren una acción o una fórmula.</t>
  </si>
  <si>
    <t>Consigna</t>
  </si>
  <si>
    <t>Tarea</t>
  </si>
  <si>
    <t>Ingresá las fórmulas de Subtotal y Total con IVA; utilizá referencia absoluta para la tasa.</t>
  </si>
  <si>
    <t>Copiá las fórmulas hacia abajo con el controlador de relleno.</t>
  </si>
  <si>
    <t>Aplicá formato moneda a precios y totales, porcentaje a la tasa y fecha dd/mm/aaaa.</t>
  </si>
  <si>
    <t>Activá filtros y ordená Total con IVA de mayor a menor.</t>
  </si>
  <si>
    <t>Filtrá la categoría Tecnología y el vendedor Ana.</t>
  </si>
  <si>
    <t>Completá el resumen con SUMA, PROMEDIO, CONTAR, MAX y MIN.</t>
  </si>
  <si>
    <t>Inmovilizá el encabezado de la tabla y configurá el área de impresión A1:M31.</t>
  </si>
  <si>
    <t>Resumen</t>
  </si>
  <si>
    <t>Total general con IVA</t>
  </si>
  <si>
    <t>=SUMA(I18:I31)</t>
  </si>
  <si>
    <t>Promedio de subtotales</t>
  </si>
  <si>
    <t>=PROMEDIO(H18:H31)</t>
  </si>
  <si>
    <t>Cantidad de registros</t>
  </si>
  <si>
    <t>=CONTAR(A18:A31)</t>
  </si>
  <si>
    <t>Mayor total con IVA</t>
  </si>
  <si>
    <t>=MAX(I18:I31)</t>
  </si>
  <si>
    <t>Menor total con IVA</t>
  </si>
  <si>
    <t>=MIN(I18:I31)</t>
  </si>
  <si>
    <t>Lista de control</t>
  </si>
  <si>
    <t>Cómo comprobar</t>
  </si>
  <si>
    <t>Fórmulas copiadas</t>
  </si>
  <si>
    <t>No deben quedar celdas vacías en H18:I31.</t>
  </si>
  <si>
    <t>Formatos aplicados</t>
  </si>
  <si>
    <t>La tasa se ve como 21% y los importes como moneda.</t>
  </si>
  <si>
    <t>Filtros activos</t>
  </si>
  <si>
    <t>Aparecen flechas en los encabezados.</t>
  </si>
  <si>
    <t>Encabezado inmovilizado</t>
  </si>
  <si>
    <t>Sigue visible al desplazarse.</t>
  </si>
  <si>
    <t>Área de impresión definida</t>
  </si>
  <si>
    <t>La vista previa incluye toda la tabla.</t>
  </si>
  <si>
    <t>8. Soluciones y resultados esperados</t>
  </si>
  <si>
    <t>Consultá esta hoja después de intentar cada práctica. Las fórmulas se muestran con nombres en español.</t>
  </si>
  <si>
    <t>Práctica</t>
  </si>
  <si>
    <t>Serie numérica</t>
  </si>
  <si>
    <t>Excel continúa la diferencia constante de 1.</t>
  </si>
  <si>
    <t>miércoles, jueves, viernes, sábado</t>
  </si>
  <si>
    <t>Los días están incluidos en las listas automáticas de Excel.</t>
  </si>
  <si>
    <t>Excel suma un día por celda.</t>
  </si>
  <si>
    <t>Carlos / Gómez; Lucía / Pérez; Martín / López; Sofía / Díaz</t>
  </si>
  <si>
    <t>Ctrl + E completa el patrón de separación.</t>
  </si>
  <si>
    <t>Procedimiento</t>
  </si>
  <si>
    <t>Aumentar precios 10%</t>
  </si>
  <si>
    <t>Cuaderno 4.950; Lapicera 1.320; Mochila 31.350; Regla 1.045; Calculadora 19.580</t>
  </si>
  <si>
    <t>Copiar 1,10 &gt; seleccionar D30:D34 &gt; Pegado especial &gt; Multiplicar.</t>
  </si>
  <si>
    <t>Diseño de tabla</t>
  </si>
  <si>
    <t>Importe en moneda, Margen en porcentaje, Fecha dd/mm/aaaa, bordes y encabezado destacado.</t>
  </si>
  <si>
    <t>Podés copiar H37:L42 y usar Pegado especial &gt; Formatos sobre A37:E42.</t>
  </si>
  <si>
    <t>Fórmula correcta</t>
  </si>
  <si>
    <t>Resultado calculado</t>
  </si>
  <si>
    <t>Cantidad de días</t>
  </si>
  <si>
    <t>Celda inicial</t>
  </si>
  <si>
    <t>Fórmula</t>
  </si>
  <si>
    <t>C28</t>
  </si>
  <si>
    <t>Presioná Enter y arrastrá hasta C33.</t>
  </si>
  <si>
    <t>C29</t>
  </si>
  <si>
    <t>=B29*(1-$B$24)</t>
  </si>
  <si>
    <t>Resultado al copiar</t>
  </si>
  <si>
    <t>C30</t>
  </si>
  <si>
    <t>=B30*(1-$B$24)</t>
  </si>
  <si>
    <t>C31</t>
  </si>
  <si>
    <t>=B31*(1-$B$24)</t>
  </si>
  <si>
    <t>C32</t>
  </si>
  <si>
    <t>=B32*(1-$B$24)</t>
  </si>
  <si>
    <t>C33</t>
  </si>
  <si>
    <t>=B33*(1-$B$24)</t>
  </si>
  <si>
    <t>Fórmula o acción correcta</t>
  </si>
  <si>
    <t>Resultado / comprobación</t>
  </si>
  <si>
    <t>Subtotal H18</t>
  </si>
  <si>
    <t>=F18*G18</t>
  </si>
  <si>
    <t>Copiar hasta H31.</t>
  </si>
  <si>
    <t>Total con IVA I18</t>
  </si>
  <si>
    <t>=H18*(1+$B$15)</t>
  </si>
  <si>
    <t>Copiar hasta I31; $B$15 no debe cambiar.</t>
  </si>
  <si>
    <t>Total general</t>
  </si>
  <si>
    <t>Mayor total</t>
  </si>
  <si>
    <t>Menor total</t>
  </si>
  <si>
    <t>Filtro pedido</t>
  </si>
  <si>
    <t>Categoría = Tecnología y Vendedor = Ana</t>
  </si>
  <si>
    <t>Deben quedar 5 registros.</t>
  </si>
  <si>
    <t>Resultado final esperado</t>
  </si>
  <si>
    <t>Fórmula de comprobación</t>
  </si>
  <si>
    <t>Valor</t>
  </si>
  <si>
    <t>Interpretación</t>
  </si>
  <si>
    <t>Fila</t>
  </si>
  <si>
    <t>Subtotal esperado</t>
  </si>
  <si>
    <t>Total con IVA esperado</t>
  </si>
  <si>
    <t>=SUMA((Cantidad*Precio)*(1+IVA))</t>
  </si>
  <si>
    <t>Suma de todos los totales.</t>
  </si>
  <si>
    <t>=PROMEDIO(Cantidad*Precio)</t>
  </si>
  <si>
    <t>Promedio antes de IVA.</t>
  </si>
  <si>
    <t>=CONTAR(ID)</t>
  </si>
  <si>
    <t>Deben ser 14.</t>
  </si>
  <si>
    <t>=MAX(Totales)</t>
  </si>
  <si>
    <t>Venta de mayor importe.</t>
  </si>
  <si>
    <t>=MIN(Totales)</t>
  </si>
  <si>
    <t>Venta de menor importe.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</si>
</sst>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\ #,##0.00"/>
    <numFmt numFmtId="165" formatCode="0.00\x"/>
  </numFmts>
  <fonts count="13">
    <font>
      <sz val="11"/>
      <name val="Carlito"/>
    </font>
    <font>
      <b/>
      <sz val="20"/>
      <color rgb="FFFFFFFF"/>
      <name val="Aptos Display"/>
    </font>
    <font>
      <i/>
      <sz val="11"/>
      <color rgb="FF595959"/>
      <name val="Aptos"/>
    </font>
    <font>
      <b/>
      <sz val="11"/>
      <color rgb="FFFFFFFF"/>
      <name val="Aptos"/>
    </font>
    <font>
      <sz val="10"/>
      <color rgb="FF000000"/>
      <name val="Aptos"/>
    </font>
    <font>
      <b/>
      <sz val="12"/>
      <color rgb="FFFFFFFF"/>
      <name val="Aptos"/>
    </font>
    <font>
      <b/>
      <sz val="10"/>
      <color rgb="FF000000"/>
      <name val="Aptos"/>
    </font>
    <font>
      <i/>
      <sz val="10"/>
      <color rgb="FF000000"/>
      <name val="Aptos"/>
    </font>
    <font>
      <sz val="10"/>
      <color rgb="FF000000"/>
      <name val="Aptos"/>
      <family val="2"/>
    </font>
    <font>
      <b/>
      <sz val="12"/>
      <name val="Aptos"/>
      <family val="2"/>
    </font>
    <font>
      <b/>
      <sz val="11"/>
      <color rgb="FFFFFFFF"/>
      <name val="Aptos"/>
      <family val="2"/>
    </font>
    <font>
      <sz val="11"/>
      <color rgb="FFFFFFFF"/>
      <name val="Aptos"/>
      <family val="2"/>
    </font>
    <font>
      <u/>
      <sz val="10"/>
      <color rgb="FF000000"/>
      <name val="Aptos"/>
      <family val="2"/>
    </font>
  </fonts>
  <fills count="10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FFFF"/>
      </patternFill>
    </fill>
    <fill>
      <patternFill patternType="solid">
        <fgColor rgb="FFEAF3F8"/>
      </patternFill>
    </fill>
    <fill>
      <patternFill patternType="solid">
        <fgColor rgb="FFE2F0D9"/>
      </patternFill>
    </fill>
    <fill>
      <patternFill patternType="solid">
        <fgColor rgb="FFFFF2CC"/>
      </patternFill>
    </fill>
    <fill>
      <patternFill patternType="solid">
        <fgColor rgb="FFF2F2F2"/>
      </patternFill>
    </fill>
    <fill>
      <patternFill patternType="solid">
        <fgColor rgb="FF0F6B78"/>
      </patternFill>
    </fill>
  </fills>
  <borders count="41">
    <border>
      <left/>
      <right/>
      <top/>
      <bottom/>
      <diagonal/>
    </border>
    <border>
      <left/>
      <right/>
      <top/>
      <bottom/>
      <diagonal/>
    </border>
    <border>
      <left style="thin">
        <color rgb="FF1F4E78"/>
      </left>
      <right/>
      <top style="thin">
        <color rgb="FF1F4E78"/>
      </top>
      <bottom/>
      <diagonal/>
    </border>
    <border>
      <left/>
      <right/>
      <top style="thin">
        <color rgb="FF1F4E78"/>
      </top>
      <bottom/>
      <diagonal/>
    </border>
    <border>
      <left/>
      <right style="thin">
        <color rgb="FF1F4E78"/>
      </right>
      <top style="thin">
        <color rgb="FF1F4E78"/>
      </top>
      <bottom/>
      <diagonal/>
    </border>
    <border>
      <left style="thin">
        <color rgb="FF1F4E78"/>
      </left>
      <right/>
      <top/>
      <bottom style="thin">
        <color rgb="FF1F4E78"/>
      </bottom>
      <diagonal/>
    </border>
    <border>
      <left/>
      <right/>
      <top/>
      <bottom style="thin">
        <color rgb="FF1F4E78"/>
      </bottom>
      <diagonal/>
    </border>
    <border>
      <left/>
      <right style="thin">
        <color rgb="FF1F4E78"/>
      </right>
      <top/>
      <bottom style="thin">
        <color rgb="FF1F4E78"/>
      </bottom>
      <diagonal/>
    </border>
    <border>
      <left style="thin">
        <color rgb="FFB7C9D6"/>
      </left>
      <right/>
      <top style="thin">
        <color rgb="FFB7C9D6"/>
      </top>
      <bottom style="thin">
        <color rgb="FFB7C9D6"/>
      </bottom>
      <diagonal/>
    </border>
    <border>
      <left/>
      <right/>
      <top style="thin">
        <color rgb="FFB7C9D6"/>
      </top>
      <bottom style="thin">
        <color rgb="FFB7C9D6"/>
      </bottom>
      <diagonal/>
    </border>
    <border>
      <left/>
      <right style="thin">
        <color rgb="FFB7C9D6"/>
      </right>
      <top style="thin">
        <color rgb="FFB7C9D6"/>
      </top>
      <bottom style="thin">
        <color rgb="FFB7C9D6"/>
      </bottom>
      <diagonal/>
    </border>
    <border>
      <left style="thin">
        <color rgb="FFB7C9D6"/>
      </left>
      <right/>
      <top style="thin">
        <color rgb="FFB7C9D6"/>
      </top>
      <bottom style="thin">
        <color rgb="FFB7C9D6"/>
      </bottom>
      <diagonal/>
    </border>
    <border>
      <left/>
      <right/>
      <top style="thin">
        <color rgb="FFB7C9D6"/>
      </top>
      <bottom style="thin">
        <color rgb="FFB7C9D6"/>
      </bottom>
      <diagonal/>
    </border>
    <border>
      <left/>
      <right style="thin">
        <color rgb="FFB7C9D6"/>
      </right>
      <top style="thin">
        <color rgb="FFB7C9D6"/>
      </top>
      <bottom style="thin">
        <color rgb="FFB7C9D6"/>
      </bottom>
      <diagonal/>
    </border>
    <border>
      <left style="thin">
        <color rgb="FFB7C9D6"/>
      </left>
      <right style="thin">
        <color rgb="FFB7C9D6"/>
      </right>
      <top style="thin">
        <color rgb="FFB7C9D6"/>
      </top>
      <bottom style="thin">
        <color rgb="FFB7C9D6"/>
      </bottom>
      <diagonal/>
    </border>
    <border>
      <left style="thin">
        <color rgb="FF0F6B78"/>
      </left>
      <right/>
      <top style="thin">
        <color rgb="FF0F6B78"/>
      </top>
      <bottom style="thin">
        <color rgb="FF0F6B78"/>
      </bottom>
      <diagonal/>
    </border>
    <border>
      <left/>
      <right/>
      <top style="thin">
        <color rgb="FF0F6B78"/>
      </top>
      <bottom style="thin">
        <color rgb="FF0F6B78"/>
      </bottom>
      <diagonal/>
    </border>
    <border>
      <left/>
      <right style="thin">
        <color rgb="FF0F6B78"/>
      </right>
      <top style="thin">
        <color rgb="FF0F6B78"/>
      </top>
      <bottom style="thin">
        <color rgb="FF0F6B78"/>
      </bottom>
      <diagonal/>
    </border>
    <border>
      <left style="thin">
        <color rgb="FF0F6B78"/>
      </left>
      <right/>
      <top style="thin">
        <color rgb="FF0F6B78"/>
      </top>
      <bottom style="thin">
        <color rgb="FF0F6B78"/>
      </bottom>
      <diagonal/>
    </border>
    <border>
      <left/>
      <right/>
      <top style="thin">
        <color rgb="FF0F6B78"/>
      </top>
      <bottom style="thin">
        <color rgb="FF0F6B78"/>
      </bottom>
      <diagonal/>
    </border>
    <border>
      <left/>
      <right style="thin">
        <color rgb="FF0F6B78"/>
      </right>
      <top style="thin">
        <color rgb="FF0F6B78"/>
      </top>
      <bottom style="thin">
        <color rgb="FF0F6B78"/>
      </bottom>
      <diagonal/>
    </border>
    <border>
      <left style="thin">
        <color rgb="FF548235"/>
      </left>
      <right style="thin">
        <color rgb="FF548235"/>
      </right>
      <top style="thin">
        <color rgb="FF548235"/>
      </top>
      <bottom style="thin">
        <color rgb="FF548235"/>
      </bottom>
      <diagonal/>
    </border>
    <border>
      <left style="thin">
        <color rgb="FFBF9000"/>
      </left>
      <right style="thin">
        <color rgb="FFBF9000"/>
      </right>
      <top style="thin">
        <color rgb="FFBF9000"/>
      </top>
      <bottom style="thin">
        <color rgb="FFBF9000"/>
      </bottom>
      <diagonal/>
    </border>
    <border>
      <left style="medium">
        <color rgb="FF5B9BD5"/>
      </left>
      <right style="thin">
        <color rgb="FFB7C9D6"/>
      </right>
      <top style="thin">
        <color rgb="FFB7C9D6"/>
      </top>
      <bottom style="thin">
        <color rgb="FFB7C9D6"/>
      </bottom>
      <diagonal/>
    </border>
    <border>
      <left style="thin">
        <color rgb="FFB7C9D6"/>
      </left>
      <right style="medium">
        <color rgb="FF5B9BD5"/>
      </right>
      <top style="thin">
        <color rgb="FFB7C9D6"/>
      </top>
      <bottom style="thin">
        <color rgb="FFB7C9D6"/>
      </bottom>
      <diagonal/>
    </border>
    <border>
      <left style="medium">
        <color rgb="FF5B9BD5"/>
      </left>
      <right style="thin">
        <color rgb="FFB7C9D6"/>
      </right>
      <top style="thin">
        <color rgb="FFB7C9D6"/>
      </top>
      <bottom style="medium">
        <color rgb="FF5B9BD5"/>
      </bottom>
      <diagonal/>
    </border>
    <border>
      <left style="thin">
        <color rgb="FFB7C9D6"/>
      </left>
      <right style="thin">
        <color rgb="FFB7C9D6"/>
      </right>
      <top style="thin">
        <color rgb="FFB7C9D6"/>
      </top>
      <bottom style="medium">
        <color rgb="FF5B9BD5"/>
      </bottom>
      <diagonal/>
    </border>
    <border>
      <left style="thin">
        <color rgb="FFB7C9D6"/>
      </left>
      <right style="medium">
        <color rgb="FF5B9BD5"/>
      </right>
      <top style="thin">
        <color rgb="FFB7C9D6"/>
      </top>
      <bottom style="medium">
        <color rgb="FF5B9BD5"/>
      </bottom>
      <diagonal/>
    </border>
    <border>
      <left style="thin">
        <color rgb="FF0F6B78"/>
      </left>
      <right style="thin">
        <color rgb="FFB7C9D6"/>
      </right>
      <top style="thin">
        <color rgb="FF0F6B78"/>
      </top>
      <bottom style="thin">
        <color rgb="FF0F6B78"/>
      </bottom>
      <diagonal/>
    </border>
    <border>
      <left style="thin">
        <color rgb="FFB7C9D6"/>
      </left>
      <right style="thin">
        <color rgb="FFB7C9D6"/>
      </right>
      <top style="thin">
        <color rgb="FF0F6B78"/>
      </top>
      <bottom style="thin">
        <color rgb="FF0F6B78"/>
      </bottom>
      <diagonal/>
    </border>
    <border>
      <left style="thin">
        <color rgb="FFB7C9D6"/>
      </left>
      <right style="thin">
        <color rgb="FF0F6B78"/>
      </right>
      <top style="thin">
        <color rgb="FF0F6B78"/>
      </top>
      <bottom style="thin">
        <color rgb="FF0F6B78"/>
      </bottom>
      <diagonal/>
    </border>
    <border>
      <left/>
      <right/>
      <top style="thin">
        <color rgb="FFB7C9D6"/>
      </top>
      <bottom style="thin">
        <color rgb="FF0F6B78"/>
      </bottom>
      <diagonal/>
    </border>
    <border>
      <left/>
      <right/>
      <top style="thin">
        <color rgb="FF0F6B78"/>
      </top>
      <bottom/>
      <diagonal/>
    </border>
    <border>
      <left/>
      <right style="thin">
        <color rgb="FFB7C9D6"/>
      </right>
      <top style="thin">
        <color rgb="FF0F6B78"/>
      </top>
      <bottom/>
      <diagonal/>
    </border>
    <border>
      <left/>
      <right style="thin">
        <color rgb="FFB7C9D6"/>
      </right>
      <top/>
      <bottom/>
      <diagonal/>
    </border>
    <border>
      <left/>
      <right/>
      <top/>
      <bottom style="thin">
        <color rgb="FF0F6B78"/>
      </bottom>
      <diagonal/>
    </border>
    <border>
      <left style="thin">
        <color rgb="FFB7C9D6"/>
      </left>
      <right/>
      <top/>
      <bottom/>
      <diagonal/>
    </border>
    <border>
      <left style="thin">
        <color rgb="FFB7C9D6"/>
      </left>
      <right style="thin">
        <color rgb="FFB7C9D6"/>
      </right>
      <top/>
      <bottom style="thin">
        <color rgb="FFB7C9D6"/>
      </bottom>
      <diagonal/>
    </border>
    <border>
      <left style="thin">
        <color rgb="FFB7C9D6"/>
      </left>
      <right/>
      <top style="thin">
        <color rgb="FF0F6B78"/>
      </top>
      <bottom style="thin">
        <color rgb="FFB7C9D6"/>
      </bottom>
      <diagonal/>
    </border>
    <border>
      <left/>
      <right/>
      <top style="thin">
        <color rgb="FF0F6B78"/>
      </top>
      <bottom style="thin">
        <color rgb="FFB7C9D6"/>
      </bottom>
      <diagonal/>
    </border>
    <border>
      <left/>
      <right style="thin">
        <color rgb="FF0F6B78"/>
      </right>
      <top style="thin">
        <color rgb="FF0F6B78"/>
      </top>
      <bottom/>
      <diagonal/>
    </border>
  </borders>
  <cellStyleXfs count="1">
    <xf numFmtId="0" fontId="0" fillId="0" borderId="0"/>
  </cellStyleXfs>
  <cellXfs count="109">
    <xf numFmtId="0" fontId="0" fillId="0" borderId="0" xfId="0"/>
    <xf numFmtId="0" fontId="3" fillId="2" borderId="14" xfId="0" applyFont="1" applyFill="1" applyBorder="1" applyAlignment="1">
      <alignment horizontal="center" vertical="center" wrapText="1"/>
    </xf>
    <xf numFmtId="0" fontId="4" fillId="4" borderId="14" xfId="0" applyFont="1" applyFill="1" applyBorder="1" applyAlignment="1">
      <alignment horizontal="left" vertical="center" wrapText="1"/>
    </xf>
    <xf numFmtId="0" fontId="4" fillId="5" borderId="14" xfId="0" applyFont="1" applyFill="1" applyBorder="1" applyAlignment="1">
      <alignment horizontal="left" vertical="center" wrapText="1"/>
    </xf>
    <xf numFmtId="0" fontId="4" fillId="6" borderId="14" xfId="0" applyFont="1" applyFill="1" applyBorder="1" applyAlignment="1">
      <alignment horizontal="left" vertical="center" wrapText="1"/>
    </xf>
    <xf numFmtId="0" fontId="4" fillId="7" borderId="14" xfId="0" applyFont="1" applyFill="1" applyBorder="1" applyAlignment="1">
      <alignment horizontal="left" vertical="center" wrapText="1"/>
    </xf>
    <xf numFmtId="0" fontId="4" fillId="8" borderId="14" xfId="0" applyFont="1" applyFill="1" applyBorder="1" applyAlignment="1">
      <alignment horizontal="left" vertical="center" wrapText="1"/>
    </xf>
    <xf numFmtId="0" fontId="4" fillId="5" borderId="14" xfId="0" applyFont="1" applyFill="1" applyBorder="1" applyAlignment="1">
      <alignment vertical="top" wrapText="1"/>
    </xf>
    <xf numFmtId="0" fontId="4" fillId="4" borderId="14" xfId="0" applyFont="1" applyFill="1" applyBorder="1" applyAlignment="1">
      <alignment horizontal="center" vertical="center" wrapText="1"/>
    </xf>
    <xf numFmtId="0" fontId="4" fillId="6" borderId="21" xfId="0" applyFont="1" applyFill="1" applyBorder="1" applyAlignment="1">
      <alignment vertical="center" wrapText="1"/>
    </xf>
    <xf numFmtId="0" fontId="4" fillId="7" borderId="22" xfId="0" applyFont="1" applyFill="1" applyBorder="1" applyAlignment="1">
      <alignment vertical="center" wrapText="1"/>
    </xf>
    <xf numFmtId="4" fontId="4" fillId="6" borderId="21" xfId="0" applyNumberFormat="1" applyFont="1" applyFill="1" applyBorder="1" applyAlignment="1">
      <alignment vertical="center" wrapText="1"/>
    </xf>
    <xf numFmtId="9" fontId="4" fillId="6" borderId="21" xfId="0" applyNumberFormat="1" applyFont="1" applyFill="1" applyBorder="1" applyAlignment="1">
      <alignment vertical="center" wrapText="1"/>
    </xf>
    <xf numFmtId="14" fontId="4" fillId="6" borderId="21" xfId="0" applyNumberFormat="1" applyFont="1" applyFill="1" applyBorder="1" applyAlignment="1">
      <alignment vertical="center" wrapText="1"/>
    </xf>
    <xf numFmtId="49" fontId="4" fillId="6" borderId="21" xfId="0" applyNumberFormat="1" applyFont="1" applyFill="1" applyBorder="1" applyAlignment="1">
      <alignment vertical="center" wrapText="1"/>
    </xf>
    <xf numFmtId="4" fontId="4" fillId="7" borderId="22" xfId="0" applyNumberFormat="1" applyFont="1" applyFill="1" applyBorder="1" applyAlignment="1">
      <alignment vertical="center" wrapText="1"/>
    </xf>
    <xf numFmtId="9" fontId="4" fillId="7" borderId="22" xfId="0" applyNumberFormat="1" applyFont="1" applyFill="1" applyBorder="1" applyAlignment="1">
      <alignment vertical="center" wrapText="1"/>
    </xf>
    <xf numFmtId="14" fontId="4" fillId="7" borderId="22" xfId="0" applyNumberFormat="1" applyFont="1" applyFill="1" applyBorder="1" applyAlignment="1">
      <alignment vertical="center" wrapText="1"/>
    </xf>
    <xf numFmtId="49" fontId="4" fillId="7" borderId="22" xfId="0" applyNumberFormat="1" applyFont="1" applyFill="1" applyBorder="1" applyAlignment="1">
      <alignment vertical="center" wrapText="1"/>
    </xf>
    <xf numFmtId="14" fontId="4" fillId="4" borderId="14" xfId="0" applyNumberFormat="1" applyFont="1" applyFill="1" applyBorder="1" applyAlignment="1">
      <alignment horizontal="left" vertical="center" wrapText="1"/>
    </xf>
    <xf numFmtId="164" fontId="4" fillId="6" borderId="21" xfId="0" applyNumberFormat="1" applyFont="1" applyFill="1" applyBorder="1" applyAlignment="1">
      <alignment vertical="center" wrapText="1"/>
    </xf>
    <xf numFmtId="164" fontId="4" fillId="4" borderId="14" xfId="0" applyNumberFormat="1" applyFont="1" applyFill="1" applyBorder="1" applyAlignment="1">
      <alignment horizontal="left" vertical="center" wrapText="1"/>
    </xf>
    <xf numFmtId="164" fontId="4" fillId="7" borderId="22" xfId="0" applyNumberFormat="1" applyFont="1" applyFill="1" applyBorder="1" applyAlignment="1">
      <alignment vertical="center" wrapText="1"/>
    </xf>
    <xf numFmtId="165" fontId="4" fillId="4" borderId="14" xfId="0" applyNumberFormat="1" applyFont="1" applyFill="1" applyBorder="1" applyAlignment="1">
      <alignment horizontal="left" vertical="center" wrapText="1"/>
    </xf>
    <xf numFmtId="1" fontId="4" fillId="4" borderId="14" xfId="0" applyNumberFormat="1" applyFont="1" applyFill="1" applyBorder="1" applyAlignment="1">
      <alignment horizontal="left" vertical="center" wrapText="1"/>
    </xf>
    <xf numFmtId="2" fontId="4" fillId="4" borderId="14" xfId="0" applyNumberFormat="1" applyFont="1" applyFill="1" applyBorder="1" applyAlignment="1">
      <alignment horizontal="left" vertical="center" wrapText="1"/>
    </xf>
    <xf numFmtId="164" fontId="4" fillId="4" borderId="14" xfId="0" applyNumberFormat="1" applyFont="1" applyFill="1" applyBorder="1" applyAlignment="1">
      <alignment horizontal="center" vertical="center" wrapText="1"/>
    </xf>
    <xf numFmtId="9" fontId="4" fillId="4" borderId="14" xfId="0" applyNumberFormat="1" applyFont="1" applyFill="1" applyBorder="1" applyAlignment="1">
      <alignment horizontal="center" vertical="center" wrapText="1"/>
    </xf>
    <xf numFmtId="14" fontId="4" fillId="4" borderId="14" xfId="0" applyNumberFormat="1" applyFont="1" applyFill="1" applyBorder="1" applyAlignment="1">
      <alignment horizontal="center" vertical="center" wrapText="1"/>
    </xf>
    <xf numFmtId="1" fontId="4" fillId="6" borderId="21" xfId="0" applyNumberFormat="1" applyFont="1" applyFill="1" applyBorder="1" applyAlignment="1">
      <alignment vertical="center" wrapText="1"/>
    </xf>
    <xf numFmtId="2" fontId="4" fillId="6" borderId="21" xfId="0" applyNumberFormat="1" applyFont="1" applyFill="1" applyBorder="1" applyAlignment="1">
      <alignment vertical="center" wrapText="1"/>
    </xf>
    <xf numFmtId="0" fontId="4" fillId="4" borderId="23" xfId="0" applyFont="1" applyFill="1" applyBorder="1" applyAlignment="1">
      <alignment horizontal="left" vertical="center" wrapText="1"/>
    </xf>
    <xf numFmtId="164" fontId="4" fillId="4" borderId="24" xfId="0" applyNumberFormat="1" applyFont="1" applyFill="1" applyBorder="1" applyAlignment="1">
      <alignment horizontal="left" vertical="center" wrapText="1"/>
    </xf>
    <xf numFmtId="0" fontId="4" fillId="4" borderId="25" xfId="0" applyFont="1" applyFill="1" applyBorder="1" applyAlignment="1">
      <alignment horizontal="left" vertical="center" wrapText="1"/>
    </xf>
    <xf numFmtId="14" fontId="4" fillId="4" borderId="26" xfId="0" applyNumberFormat="1" applyFont="1" applyFill="1" applyBorder="1" applyAlignment="1">
      <alignment horizontal="left" vertical="center" wrapText="1"/>
    </xf>
    <xf numFmtId="0" fontId="4" fillId="4" borderId="26" xfId="0" applyFont="1" applyFill="1" applyBorder="1" applyAlignment="1">
      <alignment horizontal="left" vertical="center" wrapText="1"/>
    </xf>
    <xf numFmtId="164" fontId="4" fillId="4" borderId="26" xfId="0" applyNumberFormat="1" applyFont="1" applyFill="1" applyBorder="1" applyAlignment="1">
      <alignment horizontal="left" vertical="center" wrapText="1"/>
    </xf>
    <xf numFmtId="164" fontId="4" fillId="4" borderId="27" xfId="0" applyNumberFormat="1" applyFont="1" applyFill="1" applyBorder="1" applyAlignment="1">
      <alignment horizontal="left" vertical="center" wrapText="1"/>
    </xf>
    <xf numFmtId="1" fontId="4" fillId="7" borderId="22" xfId="0" applyNumberFormat="1" applyFont="1" applyFill="1" applyBorder="1" applyAlignment="1">
      <alignment vertical="center" wrapText="1"/>
    </xf>
    <xf numFmtId="0" fontId="4" fillId="0" borderId="0" xfId="0" applyFont="1"/>
    <xf numFmtId="0" fontId="6" fillId="2" borderId="14" xfId="0" applyFont="1" applyFill="1" applyBorder="1" applyAlignment="1">
      <alignment horizontal="center" vertical="center" wrapText="1"/>
    </xf>
    <xf numFmtId="0" fontId="6" fillId="8" borderId="14" xfId="0" applyFont="1" applyFill="1" applyBorder="1" applyAlignment="1">
      <alignment horizontal="center" vertical="center" wrapText="1"/>
    </xf>
    <xf numFmtId="0" fontId="4" fillId="0" borderId="1" xfId="0" applyFont="1" applyBorder="1"/>
    <xf numFmtId="0" fontId="6" fillId="4" borderId="14" xfId="0" applyFont="1" applyFill="1" applyBorder="1" applyAlignment="1">
      <alignment horizontal="left" vertical="center" wrapText="1"/>
    </xf>
    <xf numFmtId="0" fontId="6" fillId="5" borderId="14" xfId="0" applyFont="1" applyFill="1" applyBorder="1" applyAlignment="1">
      <alignment vertical="top" wrapText="1"/>
    </xf>
    <xf numFmtId="0" fontId="6" fillId="5" borderId="14" xfId="0" applyFont="1" applyFill="1" applyBorder="1" applyAlignment="1">
      <alignment horizontal="center" vertical="top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 wrapText="1"/>
    </xf>
    <xf numFmtId="0" fontId="5" fillId="9" borderId="15" xfId="0" applyFont="1" applyFill="1" applyBorder="1" applyAlignment="1">
      <alignment horizontal="left" vertical="center" wrapText="1"/>
    </xf>
    <xf numFmtId="0" fontId="5" fillId="9" borderId="16" xfId="0" applyFont="1" applyFill="1" applyBorder="1" applyAlignment="1">
      <alignment horizontal="left" vertical="center" wrapText="1"/>
    </xf>
    <xf numFmtId="0" fontId="5" fillId="9" borderId="17" xfId="0" applyFont="1" applyFill="1" applyBorder="1" applyAlignment="1">
      <alignment horizontal="left" vertical="center" wrapText="1"/>
    </xf>
    <xf numFmtId="0" fontId="4" fillId="5" borderId="14" xfId="0" applyFont="1" applyFill="1" applyBorder="1" applyAlignment="1">
      <alignment vertical="top" wrapText="1"/>
    </xf>
    <xf numFmtId="0" fontId="3" fillId="2" borderId="14" xfId="0" applyFont="1" applyFill="1" applyBorder="1" applyAlignment="1">
      <alignment horizontal="center" vertical="center" wrapText="1"/>
    </xf>
    <xf numFmtId="0" fontId="4" fillId="4" borderId="14" xfId="0" applyFont="1" applyFill="1" applyBorder="1" applyAlignment="1">
      <alignment horizontal="left" vertical="center" wrapText="1"/>
    </xf>
    <xf numFmtId="0" fontId="6" fillId="2" borderId="14" xfId="0" applyFont="1" applyFill="1" applyBorder="1" applyAlignment="1">
      <alignment horizontal="center" vertical="center" wrapText="1"/>
    </xf>
    <xf numFmtId="0" fontId="4" fillId="7" borderId="22" xfId="0" applyFont="1" applyFill="1" applyBorder="1" applyAlignment="1">
      <alignment horizontal="left" vertical="center" wrapText="1"/>
    </xf>
    <xf numFmtId="0" fontId="4" fillId="7" borderId="22" xfId="0" applyFont="1" applyFill="1" applyBorder="1" applyAlignment="1">
      <alignment vertical="center" wrapText="1"/>
    </xf>
    <xf numFmtId="0" fontId="4" fillId="6" borderId="21" xfId="0" applyFont="1" applyFill="1" applyBorder="1" applyAlignment="1">
      <alignment vertical="center" wrapText="1"/>
    </xf>
    <xf numFmtId="0" fontId="7" fillId="8" borderId="14" xfId="0" applyFont="1" applyFill="1" applyBorder="1" applyAlignment="1">
      <alignment vertical="center" wrapText="1"/>
    </xf>
    <xf numFmtId="0" fontId="5" fillId="9" borderId="28" xfId="0" applyFont="1" applyFill="1" applyBorder="1" applyAlignment="1">
      <alignment horizontal="left" vertical="center" wrapText="1"/>
    </xf>
    <xf numFmtId="0" fontId="5" fillId="9" borderId="29" xfId="0" applyFont="1" applyFill="1" applyBorder="1" applyAlignment="1">
      <alignment horizontal="left" vertical="center" wrapText="1"/>
    </xf>
    <xf numFmtId="0" fontId="5" fillId="9" borderId="30" xfId="0" applyFont="1" applyFill="1" applyBorder="1" applyAlignment="1">
      <alignment horizontal="left" vertical="center" wrapText="1"/>
    </xf>
    <xf numFmtId="2" fontId="4" fillId="6" borderId="21" xfId="0" applyNumberFormat="1" applyFont="1" applyFill="1" applyBorder="1" applyAlignment="1">
      <alignment vertical="center" wrapText="1"/>
    </xf>
    <xf numFmtId="164" fontId="4" fillId="6" borderId="21" xfId="0" applyNumberFormat="1" applyFont="1" applyFill="1" applyBorder="1" applyAlignment="1">
      <alignment vertical="center" wrapText="1"/>
    </xf>
    <xf numFmtId="0" fontId="4" fillId="0" borderId="31" xfId="0" applyFont="1" applyBorder="1" applyAlignment="1">
      <alignment horizontal="center"/>
    </xf>
    <xf numFmtId="0" fontId="4" fillId="0" borderId="32" xfId="0" applyFont="1" applyBorder="1" applyAlignment="1">
      <alignment horizontal="center"/>
    </xf>
    <xf numFmtId="0" fontId="4" fillId="0" borderId="33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34" xfId="0" applyFont="1" applyBorder="1" applyAlignment="1">
      <alignment horizontal="center"/>
    </xf>
    <xf numFmtId="0" fontId="4" fillId="0" borderId="35" xfId="0" applyFont="1" applyBorder="1" applyAlignment="1">
      <alignment horizontal="center"/>
    </xf>
    <xf numFmtId="0" fontId="8" fillId="0" borderId="0" xfId="0" applyFont="1"/>
    <xf numFmtId="0" fontId="8" fillId="0" borderId="36" xfId="0" applyFont="1" applyBorder="1" applyAlignment="1"/>
    <xf numFmtId="0" fontId="8" fillId="0" borderId="1" xfId="0" applyFont="1" applyBorder="1" applyAlignment="1"/>
    <xf numFmtId="0" fontId="5" fillId="9" borderId="18" xfId="0" applyFont="1" applyFill="1" applyBorder="1" applyAlignment="1">
      <alignment horizontal="center" vertical="center" wrapText="1"/>
    </xf>
    <xf numFmtId="0" fontId="5" fillId="9" borderId="19" xfId="0" applyFont="1" applyFill="1" applyBorder="1" applyAlignment="1">
      <alignment horizontal="center" vertical="center" wrapText="1"/>
    </xf>
    <xf numFmtId="0" fontId="4" fillId="0" borderId="36" xfId="0" applyFont="1" applyBorder="1" applyAlignment="1"/>
    <xf numFmtId="0" fontId="4" fillId="0" borderId="1" xfId="0" applyFont="1" applyBorder="1" applyAlignment="1"/>
    <xf numFmtId="0" fontId="9" fillId="0" borderId="1" xfId="0" applyFont="1" applyFill="1" applyBorder="1" applyAlignment="1">
      <alignment vertical="center" wrapText="1"/>
    </xf>
    <xf numFmtId="0" fontId="5" fillId="9" borderId="18" xfId="0" applyFont="1" applyFill="1" applyBorder="1" applyAlignment="1">
      <alignment horizontal="left" vertical="center" wrapText="1"/>
    </xf>
    <xf numFmtId="0" fontId="5" fillId="9" borderId="19" xfId="0" applyFont="1" applyFill="1" applyBorder="1" applyAlignment="1">
      <alignment horizontal="left" vertical="center" wrapText="1"/>
    </xf>
    <xf numFmtId="0" fontId="5" fillId="9" borderId="20" xfId="0" applyFont="1" applyFill="1" applyBorder="1" applyAlignment="1">
      <alignment horizontal="left" vertical="center" wrapText="1"/>
    </xf>
    <xf numFmtId="0" fontId="10" fillId="2" borderId="14" xfId="0" applyFont="1" applyFill="1" applyBorder="1" applyAlignment="1">
      <alignment horizontal="center" vertical="center" wrapText="1"/>
    </xf>
    <xf numFmtId="0" fontId="3" fillId="2" borderId="38" xfId="0" applyFont="1" applyFill="1" applyBorder="1" applyAlignment="1">
      <alignment horizontal="center" vertical="center" wrapText="1"/>
    </xf>
    <xf numFmtId="0" fontId="3" fillId="2" borderId="39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vertical="center" wrapText="1"/>
    </xf>
    <xf numFmtId="0" fontId="4" fillId="5" borderId="11" xfId="0" applyFont="1" applyFill="1" applyBorder="1" applyAlignment="1">
      <alignment horizontal="center" vertical="top" wrapText="1"/>
    </xf>
    <xf numFmtId="0" fontId="4" fillId="5" borderId="12" xfId="0" applyFont="1" applyFill="1" applyBorder="1" applyAlignment="1">
      <alignment horizontal="center" vertical="top" wrapText="1"/>
    </xf>
    <xf numFmtId="0" fontId="4" fillId="5" borderId="13" xfId="0" applyFont="1" applyFill="1" applyBorder="1" applyAlignment="1">
      <alignment horizontal="center" vertical="top" wrapText="1"/>
    </xf>
    <xf numFmtId="0" fontId="4" fillId="0" borderId="37" xfId="0" applyFont="1" applyFill="1" applyBorder="1" applyAlignment="1">
      <alignment vertical="top" wrapText="1"/>
    </xf>
    <xf numFmtId="0" fontId="4" fillId="0" borderId="14" xfId="0" applyFont="1" applyFill="1" applyBorder="1" applyAlignment="1">
      <alignment vertical="top" wrapText="1"/>
    </xf>
    <xf numFmtId="0" fontId="5" fillId="0" borderId="32" xfId="0" applyFont="1" applyFill="1" applyBorder="1" applyAlignment="1">
      <alignment vertical="center" wrapText="1"/>
    </xf>
    <xf numFmtId="0" fontId="5" fillId="0" borderId="40" xfId="0" applyFont="1" applyFill="1" applyBorder="1" applyAlignment="1">
      <alignment vertical="center" wrapText="1"/>
    </xf>
    <xf numFmtId="0" fontId="8" fillId="0" borderId="14" xfId="0" applyFont="1" applyFill="1" applyBorder="1" applyAlignment="1">
      <alignment vertical="top" wrapText="1"/>
    </xf>
    <xf numFmtId="0" fontId="5" fillId="0" borderId="1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vertical="center" wrapText="1"/>
    </xf>
    <xf numFmtId="0" fontId="4" fillId="0" borderId="1" xfId="0" applyFont="1" applyFill="1" applyBorder="1" applyAlignment="1">
      <alignment vertical="top" wrapText="1"/>
    </xf>
    <xf numFmtId="0" fontId="4" fillId="5" borderId="11" xfId="0" applyFont="1" applyFill="1" applyBorder="1" applyAlignment="1">
      <alignment vertical="top" wrapText="1"/>
    </xf>
    <xf numFmtId="0" fontId="4" fillId="5" borderId="12" xfId="0" applyFont="1" applyFill="1" applyBorder="1" applyAlignment="1">
      <alignment vertical="top" wrapText="1"/>
    </xf>
    <xf numFmtId="0" fontId="8" fillId="5" borderId="11" xfId="0" applyFont="1" applyFill="1" applyBorder="1" applyAlignment="1">
      <alignment vertical="top" wrapText="1"/>
    </xf>
    <xf numFmtId="0" fontId="8" fillId="5" borderId="12" xfId="0" applyFont="1" applyFill="1" applyBorder="1" applyAlignment="1">
      <alignment vertical="top" wrapText="1"/>
    </xf>
    <xf numFmtId="0" fontId="8" fillId="5" borderId="14" xfId="0" applyFont="1" applyFill="1" applyBorder="1" applyAlignment="1">
      <alignment vertical="top" wrapText="1"/>
    </xf>
    <xf numFmtId="0" fontId="12" fillId="0" borderId="0" xfId="0" applyFont="1"/>
  </cellXfs>
  <cellStyles count="1">
    <cellStyle name="Normal" xfId="0" builtinId="0"/>
  </cellStyles>
  <dxfs count="9">
    <dxf>
      <font>
        <b/>
        <color rgb="FF548235"/>
      </font>
      <fill>
        <patternFill patternType="solid">
          <bgColor rgb="FFE2F0D9"/>
        </patternFill>
      </fill>
    </dxf>
    <dxf>
      <font>
        <color rgb="FFC00000"/>
      </font>
      <fill>
        <patternFill patternType="solid">
          <bgColor rgb="FFFCE4D6"/>
        </patternFill>
      </fill>
    </dxf>
    <dxf>
      <font>
        <color rgb="FFBF9000"/>
      </font>
      <fill>
        <patternFill patternType="solid">
          <bgColor rgb="FFFFF2CC"/>
        </patternFill>
      </fill>
    </dxf>
    <dxf>
      <font>
        <color rgb="FF548235"/>
      </font>
      <fill>
        <patternFill patternType="solid">
          <bgColor rgb="FFE2F0D9"/>
        </patternFill>
      </fill>
    </dxf>
    <dxf>
      <font>
        <b/>
        <color rgb="FFC00000"/>
      </font>
      <fill>
        <patternFill patternType="solid">
          <bgColor rgb="FFFCE4D6"/>
        </patternFill>
      </fill>
    </dxf>
    <dxf>
      <font>
        <b/>
        <color rgb="FFBF9000"/>
      </font>
      <fill>
        <patternFill patternType="solid">
          <bgColor rgb="FFFFF2CC"/>
        </patternFill>
      </fill>
    </dxf>
    <dxf>
      <font>
        <b/>
        <color rgb="FF548235"/>
      </font>
      <fill>
        <patternFill patternType="solid">
          <bgColor rgb="FFE2F0D9"/>
        </patternFill>
      </fill>
    </dxf>
    <dxf>
      <font>
        <b/>
        <color rgb="FFBF9000"/>
      </font>
      <fill>
        <patternFill patternType="solid">
          <bgColor rgb="FFFFF2CC"/>
        </patternFill>
      </fill>
    </dxf>
    <dxf>
      <font>
        <b/>
        <color rgb="FF548235"/>
      </font>
      <fill>
        <patternFill patternType="solid">
          <bgColor rgb="FFE2F0D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774700</xdr:colOff>
      <xdr:row>6</xdr:row>
      <xdr:rowOff>161085</xdr:rowOff>
    </xdr:from>
    <xdr:to>
      <xdr:col>11</xdr:col>
      <xdr:colOff>527050</xdr:colOff>
      <xdr:row>10</xdr:row>
      <xdr:rowOff>92265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DADF96E-2E0D-17E4-CA07-09438E6FBC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357100" y="1399335"/>
          <a:ext cx="3613150" cy="107418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114300</xdr:colOff>
      <xdr:row>13</xdr:row>
      <xdr:rowOff>12700</xdr:rowOff>
    </xdr:from>
    <xdr:to>
      <xdr:col>15</xdr:col>
      <xdr:colOff>463550</xdr:colOff>
      <xdr:row>15</xdr:row>
      <xdr:rowOff>311150</xdr:rowOff>
    </xdr:to>
    <xdr:sp macro="" textlink="">
      <xdr:nvSpPr>
        <xdr:cNvPr id="8" name="CuadroTexto 7">
          <a:extLst>
            <a:ext uri="{FF2B5EF4-FFF2-40B4-BE49-F238E27FC236}">
              <a16:creationId xmlns:a16="http://schemas.microsoft.com/office/drawing/2014/main" id="{8E9CC973-9295-FEB2-FD2E-160FD7E4F964}"/>
            </a:ext>
          </a:extLst>
        </xdr:cNvPr>
        <xdr:cNvSpPr txBox="1"/>
      </xdr:nvSpPr>
      <xdr:spPr>
        <a:xfrm>
          <a:off x="14744700" y="2520950"/>
          <a:ext cx="2330450" cy="9969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1100"/>
            <a:t>Entonces es mejor utilizar las formulas para que cuando se modifique algún valor, el "Total fijo" pueda adecuarse a los nuevos precios.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480954</xdr:colOff>
      <xdr:row>11</xdr:row>
      <xdr:rowOff>173332</xdr:rowOff>
    </xdr:from>
    <xdr:to>
      <xdr:col>9</xdr:col>
      <xdr:colOff>744597</xdr:colOff>
      <xdr:row>15</xdr:row>
      <xdr:rowOff>23518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5FA711A8-37E6-63B0-0774-189B9F083C78}"/>
            </a:ext>
          </a:extLst>
        </xdr:cNvPr>
        <xdr:cNvSpPr txBox="1"/>
      </xdr:nvSpPr>
      <xdr:spPr>
        <a:xfrm>
          <a:off x="7324843" y="2295878"/>
          <a:ext cx="4755680" cy="77916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1100"/>
            <a:t>Nota al márgen: al seleccionar un</a:t>
          </a:r>
          <a:r>
            <a:rPr lang="es-ES" sz="1100" baseline="0"/>
            <a:t> rango de celdas, por defecto, se van a mostrar los siguientes datos en la parte inferior derecha de Excel:</a:t>
          </a:r>
        </a:p>
        <a:p>
          <a:r>
            <a:rPr lang="es-ES" sz="1100" baseline="0"/>
            <a:t>- Si son palabras, se mostrará el Recuento de celdas</a:t>
          </a:r>
        </a:p>
        <a:p>
          <a:r>
            <a:rPr lang="es-ES" sz="1100" baseline="0"/>
            <a:t>- Si son números, se mostrará el Recuento, la Suma y el Promedio de esas celdas</a:t>
          </a:r>
          <a:endParaRPr lang="es-ES" sz="1100"/>
        </a:p>
      </xdr:txBody>
    </xdr:sp>
    <xdr:clientData/>
  </xdr:twoCellAnchor>
  <xdr:twoCellAnchor editAs="oneCell">
    <xdr:from>
      <xdr:col>6</xdr:col>
      <xdr:colOff>1227498</xdr:colOff>
      <xdr:row>15</xdr:row>
      <xdr:rowOff>58796</xdr:rowOff>
    </xdr:from>
    <xdr:to>
      <xdr:col>8</xdr:col>
      <xdr:colOff>1616898</xdr:colOff>
      <xdr:row>19</xdr:row>
      <xdr:rowOff>670278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E56BFE53-9FD9-126E-02D9-2A896BD5752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5773" t="3354"/>
        <a:stretch>
          <a:fillRect/>
        </a:stretch>
      </xdr:blipFill>
      <xdr:spPr>
        <a:xfrm>
          <a:off x="8071387" y="3110324"/>
          <a:ext cx="3052872" cy="184620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590550</xdr:colOff>
      <xdr:row>26</xdr:row>
      <xdr:rowOff>139700</xdr:rowOff>
    </xdr:from>
    <xdr:ext cx="2673350" cy="781240"/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363A09D8-8894-BD55-2D32-4904B420F885}"/>
            </a:ext>
          </a:extLst>
        </xdr:cNvPr>
        <xdr:cNvSpPr txBox="1"/>
      </xdr:nvSpPr>
      <xdr:spPr>
        <a:xfrm>
          <a:off x="5772150" y="5803900"/>
          <a:ext cx="2673350" cy="78124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s-ES" sz="1100"/>
            <a:t>Una vez pegada</a:t>
          </a:r>
          <a:r>
            <a:rPr lang="es-ES" sz="1100" baseline="0"/>
            <a:t> la formula, en lugar de arrastrar, se puede hacer doble click para que la realice la formula en todas las demás celdas inferiores</a:t>
          </a:r>
          <a:endParaRPr lang="es-ES" sz="1100"/>
        </a:p>
      </xdr:txBody>
    </xdr:sp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ListaVentasTable" displayName="ListaVentasTable" ref="A7:I37">
  <tableColumns count="9">
    <tableColumn id="1" xr3:uid="{00000000-0010-0000-0000-000001000000}" name="ID"/>
    <tableColumn id="2" xr3:uid="{00000000-0010-0000-0000-000002000000}" name="Fecha"/>
    <tableColumn id="3" xr3:uid="{00000000-0010-0000-0000-000003000000}" name="Vendedor"/>
    <tableColumn id="4" xr3:uid="{00000000-0010-0000-0000-000004000000}" name="Provincia"/>
    <tableColumn id="5" xr3:uid="{00000000-0010-0000-0000-000005000000}" name="Categoría"/>
    <tableColumn id="6" xr3:uid="{00000000-0010-0000-0000-000006000000}" name="Unidades"/>
    <tableColumn id="7" xr3:uid="{00000000-0010-0000-0000-000007000000}" name="Precio unitario"/>
    <tableColumn id="8" xr3:uid="{00000000-0010-0000-0000-000008000000}" name="Total"/>
    <tableColumn id="9" xr3:uid="{00000000-0010-0000-0000-000009000000}" name="Esta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 fitToPage="1"/>
  </sheetPr>
  <dimension ref="A1:M70"/>
  <sheetViews>
    <sheetView workbookViewId="0">
      <selection sqref="A1:I2"/>
    </sheetView>
  </sheetViews>
  <sheetFormatPr baseColWidth="10" defaultColWidth="8.6640625" defaultRowHeight="14"/>
  <cols>
    <col min="1" max="1" width="16" customWidth="1"/>
    <col min="2" max="2" width="22" customWidth="1"/>
    <col min="3" max="3" width="34" customWidth="1"/>
    <col min="4" max="8" width="16" customWidth="1"/>
    <col min="9" max="9" width="18" customWidth="1"/>
  </cols>
  <sheetData>
    <row r="1" spans="1:13" ht="16.649999999999999" customHeight="1">
      <c r="A1" s="46" t="s">
        <v>0</v>
      </c>
      <c r="B1" s="47"/>
      <c r="C1" s="47"/>
      <c r="D1" s="47"/>
      <c r="E1" s="47"/>
      <c r="F1" s="47"/>
      <c r="G1" s="47"/>
      <c r="H1" s="47"/>
      <c r="I1" s="48"/>
      <c r="J1" s="39"/>
      <c r="K1" s="39"/>
      <c r="L1" s="39"/>
      <c r="M1" s="39"/>
    </row>
    <row r="2" spans="1:13" ht="16.649999999999999" customHeight="1">
      <c r="A2" s="49"/>
      <c r="B2" s="50"/>
      <c r="C2" s="50"/>
      <c r="D2" s="50"/>
      <c r="E2" s="50"/>
      <c r="F2" s="50"/>
      <c r="G2" s="50"/>
      <c r="H2" s="50"/>
      <c r="I2" s="51"/>
      <c r="J2" s="39"/>
      <c r="K2" s="39"/>
      <c r="L2" s="39"/>
      <c r="M2" s="39"/>
    </row>
    <row r="3" spans="1:13" ht="20" customHeight="1">
      <c r="A3" s="52" t="s">
        <v>1</v>
      </c>
      <c r="B3" s="53"/>
      <c r="C3" s="53"/>
      <c r="D3" s="53"/>
      <c r="E3" s="53"/>
      <c r="F3" s="53"/>
      <c r="G3" s="53"/>
      <c r="H3" s="53"/>
      <c r="I3" s="54"/>
      <c r="J3" s="39"/>
      <c r="K3" s="39"/>
      <c r="L3" s="39"/>
      <c r="M3" s="39"/>
    </row>
    <row r="4" spans="1:13">
      <c r="A4" s="39"/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</row>
    <row r="5" spans="1:13" ht="16" customHeight="1">
      <c r="A5" s="1" t="s">
        <v>2</v>
      </c>
      <c r="B5" s="1" t="s">
        <v>3</v>
      </c>
      <c r="C5" s="39"/>
      <c r="D5" s="55" t="s">
        <v>4</v>
      </c>
      <c r="E5" s="56"/>
      <c r="F5" s="56"/>
      <c r="G5" s="56"/>
      <c r="H5" s="56"/>
      <c r="I5" s="57"/>
      <c r="J5" s="39"/>
      <c r="K5" s="39"/>
      <c r="L5" s="39"/>
      <c r="M5" s="39"/>
    </row>
    <row r="6" spans="1:13">
      <c r="A6" s="3" t="s">
        <v>5</v>
      </c>
      <c r="B6" s="2" t="s">
        <v>6</v>
      </c>
      <c r="C6" s="39"/>
      <c r="D6" s="58" t="s">
        <v>7</v>
      </c>
      <c r="E6" s="58"/>
      <c r="F6" s="58"/>
      <c r="G6" s="58"/>
      <c r="H6" s="58"/>
      <c r="I6" s="58"/>
      <c r="J6" s="39"/>
      <c r="K6" s="39"/>
      <c r="L6" s="39"/>
      <c r="M6" s="39"/>
    </row>
    <row r="7" spans="1:13">
      <c r="A7" s="4" t="s">
        <v>8</v>
      </c>
      <c r="B7" s="2" t="s">
        <v>9</v>
      </c>
      <c r="C7" s="39"/>
      <c r="D7" s="58"/>
      <c r="E7" s="58"/>
      <c r="F7" s="58"/>
      <c r="G7" s="58"/>
      <c r="H7" s="58"/>
      <c r="I7" s="58"/>
      <c r="J7" s="39"/>
      <c r="K7" s="39"/>
      <c r="L7" s="39"/>
      <c r="M7" s="39"/>
    </row>
    <row r="8" spans="1:13">
      <c r="A8" s="5" t="s">
        <v>10</v>
      </c>
      <c r="B8" s="2" t="s">
        <v>11</v>
      </c>
      <c r="C8" s="39"/>
      <c r="D8" s="58"/>
      <c r="E8" s="58"/>
      <c r="F8" s="58"/>
      <c r="G8" s="58"/>
      <c r="H8" s="58"/>
      <c r="I8" s="58"/>
      <c r="J8" s="39"/>
      <c r="K8" s="39"/>
      <c r="L8" s="39"/>
      <c r="M8" s="39"/>
    </row>
    <row r="9" spans="1:13">
      <c r="A9" s="6" t="s">
        <v>12</v>
      </c>
      <c r="B9" s="2" t="s">
        <v>13</v>
      </c>
      <c r="C9" s="39"/>
      <c r="D9" s="58"/>
      <c r="E9" s="58"/>
      <c r="F9" s="58"/>
      <c r="G9" s="58"/>
      <c r="H9" s="58"/>
      <c r="I9" s="58"/>
      <c r="J9" s="39"/>
      <c r="K9" s="39"/>
      <c r="L9" s="39"/>
      <c r="M9" s="39"/>
    </row>
    <row r="10" spans="1:13">
      <c r="A10" s="39"/>
      <c r="B10" s="39"/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</row>
    <row r="11" spans="1:13" ht="16" customHeight="1">
      <c r="A11" s="55" t="s">
        <v>14</v>
      </c>
      <c r="B11" s="56"/>
      <c r="C11" s="56"/>
      <c r="D11" s="56"/>
      <c r="E11" s="56"/>
      <c r="F11" s="56"/>
      <c r="G11" s="56"/>
      <c r="H11" s="56"/>
      <c r="I11" s="57"/>
      <c r="J11" s="39"/>
      <c r="K11" s="39"/>
      <c r="L11" s="39"/>
      <c r="M11" s="39"/>
    </row>
    <row r="12" spans="1:13" ht="14.5">
      <c r="A12" s="1" t="s">
        <v>15</v>
      </c>
      <c r="B12" s="1" t="s">
        <v>16</v>
      </c>
      <c r="C12" s="1" t="s">
        <v>17</v>
      </c>
      <c r="D12" s="1" t="s">
        <v>18</v>
      </c>
      <c r="E12" s="59" t="s">
        <v>19</v>
      </c>
      <c r="F12" s="59"/>
      <c r="G12" s="59"/>
      <c r="H12" s="59"/>
      <c r="I12" s="59"/>
      <c r="J12" s="39"/>
      <c r="K12" s="39"/>
      <c r="L12" s="39"/>
      <c r="M12" s="39"/>
    </row>
    <row r="13" spans="1:13" ht="26">
      <c r="A13" s="8">
        <v>1</v>
      </c>
      <c r="B13" s="2" t="s">
        <v>20</v>
      </c>
      <c r="C13" s="2" t="s">
        <v>21</v>
      </c>
      <c r="D13" s="2" t="s">
        <v>22</v>
      </c>
      <c r="E13" s="60" t="s">
        <v>23</v>
      </c>
      <c r="F13" s="60"/>
      <c r="G13" s="60"/>
      <c r="H13" s="60"/>
      <c r="I13" s="60"/>
      <c r="J13" s="39"/>
      <c r="K13" s="39"/>
      <c r="L13" s="39"/>
      <c r="M13" s="39"/>
    </row>
    <row r="14" spans="1:13" ht="26">
      <c r="A14" s="8">
        <v>2</v>
      </c>
      <c r="B14" s="2" t="s">
        <v>24</v>
      </c>
      <c r="C14" s="2" t="s">
        <v>25</v>
      </c>
      <c r="D14" s="2" t="s">
        <v>26</v>
      </c>
      <c r="E14" s="60" t="s">
        <v>23</v>
      </c>
      <c r="F14" s="60"/>
      <c r="G14" s="60"/>
      <c r="H14" s="60"/>
      <c r="I14" s="60"/>
      <c r="J14" s="39"/>
      <c r="K14" s="39"/>
      <c r="L14" s="39"/>
      <c r="M14" s="39"/>
    </row>
    <row r="15" spans="1:13" ht="26">
      <c r="A15" s="8">
        <v>3</v>
      </c>
      <c r="B15" s="2" t="s">
        <v>27</v>
      </c>
      <c r="C15" s="2" t="s">
        <v>28</v>
      </c>
      <c r="D15" s="2" t="s">
        <v>29</v>
      </c>
      <c r="E15" s="60" t="s">
        <v>23</v>
      </c>
      <c r="F15" s="60"/>
      <c r="G15" s="60"/>
      <c r="H15" s="60"/>
      <c r="I15" s="60"/>
      <c r="J15" s="39"/>
      <c r="K15" s="39"/>
      <c r="L15" s="39"/>
      <c r="M15" s="39"/>
    </row>
    <row r="16" spans="1:13" ht="26">
      <c r="A16" s="8">
        <v>4</v>
      </c>
      <c r="B16" s="2" t="s">
        <v>30</v>
      </c>
      <c r="C16" s="2" t="s">
        <v>31</v>
      </c>
      <c r="D16" s="2" t="s">
        <v>32</v>
      </c>
      <c r="E16" s="60" t="s">
        <v>23</v>
      </c>
      <c r="F16" s="60"/>
      <c r="G16" s="60"/>
      <c r="H16" s="60"/>
      <c r="I16" s="60"/>
      <c r="J16" s="39"/>
      <c r="K16" s="39"/>
      <c r="L16" s="39"/>
      <c r="M16" s="39"/>
    </row>
    <row r="17" spans="1:13" ht="26">
      <c r="A17" s="8">
        <v>5</v>
      </c>
      <c r="B17" s="2" t="s">
        <v>33</v>
      </c>
      <c r="C17" s="2" t="s">
        <v>34</v>
      </c>
      <c r="D17" s="2" t="s">
        <v>35</v>
      </c>
      <c r="E17" s="60" t="s">
        <v>23</v>
      </c>
      <c r="F17" s="60"/>
      <c r="G17" s="60"/>
      <c r="H17" s="60"/>
      <c r="I17" s="60"/>
      <c r="J17" s="39"/>
      <c r="K17" s="39"/>
      <c r="L17" s="39"/>
      <c r="M17" s="39"/>
    </row>
    <row r="18" spans="1:13" ht="26">
      <c r="A18" s="8">
        <v>6</v>
      </c>
      <c r="B18" s="2" t="s">
        <v>36</v>
      </c>
      <c r="C18" s="2" t="s">
        <v>37</v>
      </c>
      <c r="D18" s="2" t="s">
        <v>38</v>
      </c>
      <c r="E18" s="60" t="s">
        <v>23</v>
      </c>
      <c r="F18" s="60"/>
      <c r="G18" s="60"/>
      <c r="H18" s="60"/>
      <c r="I18" s="60"/>
      <c r="J18" s="39"/>
      <c r="K18" s="39"/>
      <c r="L18" s="39"/>
      <c r="M18" s="39"/>
    </row>
    <row r="19" spans="1:13" ht="26">
      <c r="A19" s="8">
        <v>7</v>
      </c>
      <c r="B19" s="2" t="s">
        <v>39</v>
      </c>
      <c r="C19" s="2" t="s">
        <v>40</v>
      </c>
      <c r="D19" s="2" t="s">
        <v>41</v>
      </c>
      <c r="E19" s="60" t="s">
        <v>23</v>
      </c>
      <c r="F19" s="60"/>
      <c r="G19" s="60"/>
      <c r="H19" s="60"/>
      <c r="I19" s="60"/>
      <c r="J19" s="39"/>
      <c r="K19" s="39"/>
      <c r="L19" s="39"/>
      <c r="M19" s="39"/>
    </row>
    <row r="20" spans="1:13">
      <c r="A20" s="39"/>
      <c r="B20" s="39"/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</row>
    <row r="21" spans="1:13" ht="16" customHeight="1">
      <c r="A21" s="55" t="s">
        <v>42</v>
      </c>
      <c r="B21" s="56"/>
      <c r="C21" s="56"/>
      <c r="D21" s="56"/>
      <c r="E21" s="56"/>
      <c r="F21" s="56"/>
      <c r="G21" s="56"/>
      <c r="H21" s="56"/>
      <c r="I21" s="57"/>
      <c r="J21" s="39"/>
      <c r="K21" s="39"/>
      <c r="L21" s="39"/>
      <c r="M21" s="39"/>
    </row>
    <row r="22" spans="1:13" ht="14.5">
      <c r="A22" s="1" t="s">
        <v>43</v>
      </c>
      <c r="B22" s="1" t="s">
        <v>44</v>
      </c>
      <c r="C22" s="59" t="s">
        <v>45</v>
      </c>
      <c r="D22" s="59"/>
      <c r="E22" s="59"/>
      <c r="F22" s="59"/>
      <c r="G22" s="59"/>
      <c r="H22" s="59"/>
      <c r="I22" s="59"/>
      <c r="J22" s="39"/>
      <c r="K22" s="39"/>
      <c r="L22" s="39"/>
      <c r="M22" s="39"/>
    </row>
    <row r="23" spans="1:13">
      <c r="A23" s="2" t="s">
        <v>46</v>
      </c>
      <c r="B23" s="41" t="s">
        <v>47</v>
      </c>
      <c r="C23" s="60" t="s">
        <v>48</v>
      </c>
      <c r="D23" s="60"/>
      <c r="E23" s="60"/>
      <c r="F23" s="60"/>
      <c r="G23" s="60"/>
      <c r="H23" s="60"/>
      <c r="I23" s="60"/>
      <c r="J23" s="39"/>
      <c r="K23" s="39"/>
      <c r="L23" s="39"/>
      <c r="M23" s="39"/>
    </row>
    <row r="24" spans="1:13">
      <c r="A24" s="2" t="s">
        <v>49</v>
      </c>
      <c r="B24" s="41" t="s">
        <v>50</v>
      </c>
      <c r="C24" s="60" t="s">
        <v>51</v>
      </c>
      <c r="D24" s="60"/>
      <c r="E24" s="60"/>
      <c r="F24" s="60"/>
      <c r="G24" s="60"/>
      <c r="H24" s="60"/>
      <c r="I24" s="60"/>
      <c r="J24" s="39"/>
      <c r="K24" s="39"/>
      <c r="L24" s="39"/>
      <c r="M24" s="39"/>
    </row>
    <row r="25" spans="1:13">
      <c r="A25" s="2" t="s">
        <v>52</v>
      </c>
      <c r="B25" s="41" t="s">
        <v>53</v>
      </c>
      <c r="C25" s="60" t="s">
        <v>54</v>
      </c>
      <c r="D25" s="60"/>
      <c r="E25" s="60"/>
      <c r="F25" s="60"/>
      <c r="G25" s="60"/>
      <c r="H25" s="60"/>
      <c r="I25" s="60"/>
      <c r="J25" s="39"/>
      <c r="K25" s="39"/>
      <c r="L25" s="39"/>
      <c r="M25" s="39"/>
    </row>
    <row r="26" spans="1:13">
      <c r="A26" s="2" t="s">
        <v>55</v>
      </c>
      <c r="B26" s="41" t="s">
        <v>56</v>
      </c>
      <c r="C26" s="60" t="s">
        <v>57</v>
      </c>
      <c r="D26" s="60"/>
      <c r="E26" s="60"/>
      <c r="F26" s="60"/>
      <c r="G26" s="60"/>
      <c r="H26" s="60"/>
      <c r="I26" s="60"/>
      <c r="J26" s="39"/>
      <c r="K26" s="39"/>
      <c r="L26" s="39"/>
      <c r="M26" s="39"/>
    </row>
    <row r="27" spans="1:13">
      <c r="A27" s="2" t="s">
        <v>58</v>
      </c>
      <c r="B27" s="41" t="s">
        <v>59</v>
      </c>
      <c r="C27" s="60" t="s">
        <v>60</v>
      </c>
      <c r="D27" s="60"/>
      <c r="E27" s="60"/>
      <c r="F27" s="60"/>
      <c r="G27" s="60"/>
      <c r="H27" s="60"/>
      <c r="I27" s="60"/>
      <c r="J27" s="39"/>
      <c r="K27" s="39"/>
      <c r="L27" s="39"/>
      <c r="M27" s="39"/>
    </row>
    <row r="28" spans="1:13">
      <c r="A28" s="2" t="s">
        <v>61</v>
      </c>
      <c r="B28" s="41" t="s">
        <v>62</v>
      </c>
      <c r="C28" s="60" t="s">
        <v>63</v>
      </c>
      <c r="D28" s="60"/>
      <c r="E28" s="60"/>
      <c r="F28" s="60"/>
      <c r="G28" s="60"/>
      <c r="H28" s="60"/>
      <c r="I28" s="60"/>
      <c r="J28" s="39"/>
      <c r="K28" s="39"/>
      <c r="L28" s="39"/>
      <c r="M28" s="39"/>
    </row>
    <row r="29" spans="1:13">
      <c r="A29" s="2" t="s">
        <v>64</v>
      </c>
      <c r="B29" s="41" t="s">
        <v>65</v>
      </c>
      <c r="C29" s="60" t="s">
        <v>66</v>
      </c>
      <c r="D29" s="60"/>
      <c r="E29" s="60"/>
      <c r="F29" s="60"/>
      <c r="G29" s="60"/>
      <c r="H29" s="60"/>
      <c r="I29" s="60"/>
      <c r="J29" s="39"/>
      <c r="K29" s="39"/>
      <c r="L29" s="39"/>
      <c r="M29" s="39"/>
    </row>
    <row r="30" spans="1:13">
      <c r="A30" s="2" t="s">
        <v>67</v>
      </c>
      <c r="B30" s="41" t="s">
        <v>68</v>
      </c>
      <c r="C30" s="60" t="s">
        <v>69</v>
      </c>
      <c r="D30" s="60"/>
      <c r="E30" s="60"/>
      <c r="F30" s="60"/>
      <c r="G30" s="60"/>
      <c r="H30" s="60"/>
      <c r="I30" s="60"/>
      <c r="J30" s="39"/>
      <c r="K30" s="39"/>
      <c r="L30" s="39"/>
      <c r="M30" s="39"/>
    </row>
    <row r="31" spans="1:13">
      <c r="A31" s="39"/>
      <c r="B31" s="39"/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</row>
    <row r="32" spans="1:13">
      <c r="A32" s="39"/>
      <c r="B32" s="39"/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</row>
    <row r="33" spans="1:13">
      <c r="A33" s="39"/>
      <c r="B33" s="39"/>
      <c r="C33" s="39"/>
      <c r="D33" s="39"/>
      <c r="E33" s="39"/>
      <c r="F33" s="39"/>
      <c r="G33" s="39"/>
      <c r="H33" s="39"/>
      <c r="I33" s="39"/>
      <c r="J33" s="39"/>
      <c r="K33" s="39"/>
      <c r="L33" s="39"/>
      <c r="M33" s="39"/>
    </row>
    <row r="34" spans="1:13">
      <c r="A34" s="39"/>
      <c r="B34" s="39"/>
      <c r="C34" s="39"/>
      <c r="D34" s="39"/>
      <c r="E34" s="39"/>
      <c r="F34" s="39"/>
      <c r="G34" s="39"/>
      <c r="H34" s="39"/>
      <c r="I34" s="39"/>
      <c r="J34" s="39"/>
      <c r="K34" s="39"/>
      <c r="L34" s="39"/>
      <c r="M34" s="39"/>
    </row>
    <row r="35" spans="1:13">
      <c r="A35" s="39"/>
      <c r="B35" s="39"/>
      <c r="C35" s="39"/>
      <c r="D35" s="39"/>
      <c r="E35" s="39"/>
      <c r="F35" s="39"/>
      <c r="G35" s="39"/>
      <c r="H35" s="39"/>
      <c r="I35" s="39"/>
      <c r="J35" s="39"/>
      <c r="K35" s="39"/>
      <c r="L35" s="39"/>
      <c r="M35" s="39"/>
    </row>
    <row r="36" spans="1:13">
      <c r="A36" s="39"/>
      <c r="B36" s="39"/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</row>
    <row r="37" spans="1:13">
      <c r="A37" s="39"/>
      <c r="B37" s="39"/>
      <c r="C37" s="39"/>
      <c r="D37" s="39"/>
      <c r="E37" s="39"/>
      <c r="F37" s="39"/>
      <c r="G37" s="39"/>
      <c r="H37" s="39"/>
      <c r="I37" s="39"/>
      <c r="J37" s="39"/>
      <c r="K37" s="39"/>
      <c r="L37" s="39"/>
      <c r="M37" s="39"/>
    </row>
    <row r="38" spans="1:13">
      <c r="A38" s="39"/>
      <c r="B38" s="39"/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</row>
    <row r="39" spans="1:13">
      <c r="A39" s="39"/>
      <c r="B39" s="39"/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</row>
    <row r="40" spans="1:13">
      <c r="A40" s="39"/>
      <c r="B40" s="39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</row>
    <row r="41" spans="1:13">
      <c r="A41" s="39"/>
      <c r="B41" s="39"/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</row>
    <row r="42" spans="1:13">
      <c r="A42" s="39"/>
      <c r="B42" s="39"/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</row>
    <row r="43" spans="1:13">
      <c r="A43" s="39"/>
      <c r="B43" s="39"/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39"/>
    </row>
    <row r="44" spans="1:13">
      <c r="A44" s="39"/>
      <c r="B44" s="39"/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</row>
    <row r="45" spans="1:13">
      <c r="A45" s="39"/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</row>
    <row r="46" spans="1:13">
      <c r="A46" s="39"/>
      <c r="B46" s="39"/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</row>
    <row r="47" spans="1:13">
      <c r="A47" s="39"/>
      <c r="B47" s="39"/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</row>
    <row r="48" spans="1:13">
      <c r="A48" s="39"/>
      <c r="B48" s="39"/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</row>
    <row r="49" spans="1:13">
      <c r="A49" s="39"/>
      <c r="B49" s="39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</row>
    <row r="50" spans="1:13">
      <c r="A50" s="39"/>
      <c r="B50" s="39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</row>
    <row r="51" spans="1:13">
      <c r="A51" s="39"/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39"/>
      <c r="M51" s="39"/>
    </row>
    <row r="52" spans="1:13">
      <c r="A52" s="39"/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39"/>
    </row>
    <row r="53" spans="1:13">
      <c r="A53" s="39"/>
      <c r="B53" s="39"/>
      <c r="C53" s="39"/>
      <c r="D53" s="39"/>
      <c r="E53" s="39"/>
      <c r="F53" s="39"/>
      <c r="G53" s="39"/>
      <c r="H53" s="39"/>
      <c r="I53" s="39"/>
      <c r="J53" s="39"/>
      <c r="K53" s="39"/>
      <c r="L53" s="39"/>
      <c r="M53" s="39"/>
    </row>
    <row r="54" spans="1:13">
      <c r="A54" s="39"/>
      <c r="B54" s="39"/>
      <c r="C54" s="39"/>
      <c r="D54" s="39"/>
      <c r="E54" s="39"/>
      <c r="F54" s="39"/>
      <c r="G54" s="39"/>
      <c r="H54" s="39"/>
      <c r="I54" s="39"/>
      <c r="J54" s="39"/>
      <c r="K54" s="39"/>
      <c r="L54" s="39"/>
      <c r="M54" s="39"/>
    </row>
    <row r="55" spans="1:13">
      <c r="A55" s="39"/>
      <c r="B55" s="39"/>
      <c r="C55" s="39"/>
      <c r="D55" s="39"/>
      <c r="E55" s="39"/>
      <c r="F55" s="39"/>
      <c r="G55" s="39"/>
      <c r="H55" s="39"/>
      <c r="I55" s="39"/>
      <c r="J55" s="39"/>
      <c r="K55" s="39"/>
      <c r="L55" s="39"/>
      <c r="M55" s="39"/>
    </row>
    <row r="56" spans="1:13">
      <c r="A56" s="39"/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</row>
    <row r="57" spans="1:13">
      <c r="A57" s="39"/>
      <c r="B57" s="39"/>
      <c r="C57" s="39"/>
      <c r="D57" s="39"/>
      <c r="E57" s="39"/>
      <c r="F57" s="39"/>
      <c r="G57" s="39"/>
      <c r="H57" s="39"/>
      <c r="I57" s="39"/>
      <c r="J57" s="39"/>
      <c r="K57" s="39"/>
      <c r="L57" s="39"/>
      <c r="M57" s="39"/>
    </row>
    <row r="58" spans="1:13">
      <c r="A58" s="39"/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39"/>
    </row>
    <row r="59" spans="1:13">
      <c r="A59" s="39"/>
      <c r="B59" s="39"/>
      <c r="C59" s="39"/>
      <c r="D59" s="39"/>
      <c r="E59" s="39"/>
      <c r="F59" s="39"/>
      <c r="G59" s="39"/>
      <c r="H59" s="39"/>
      <c r="I59" s="39"/>
      <c r="J59" s="39"/>
      <c r="K59" s="39"/>
      <c r="L59" s="39"/>
      <c r="M59" s="39"/>
    </row>
    <row r="60" spans="1:13">
      <c r="A60" s="39"/>
      <c r="B60" s="39"/>
      <c r="C60" s="39"/>
      <c r="D60" s="39"/>
      <c r="E60" s="39"/>
      <c r="F60" s="39"/>
      <c r="G60" s="39"/>
      <c r="H60" s="39"/>
      <c r="I60" s="39"/>
      <c r="J60" s="39"/>
      <c r="K60" s="39"/>
      <c r="L60" s="39"/>
      <c r="M60" s="39"/>
    </row>
    <row r="61" spans="1:13">
      <c r="A61" s="39"/>
      <c r="B61" s="39"/>
      <c r="C61" s="39"/>
      <c r="D61" s="39"/>
      <c r="E61" s="39"/>
      <c r="F61" s="39"/>
      <c r="G61" s="39"/>
      <c r="H61" s="39"/>
      <c r="I61" s="39"/>
      <c r="J61" s="39"/>
      <c r="K61" s="39"/>
      <c r="L61" s="39"/>
      <c r="M61" s="39"/>
    </row>
    <row r="62" spans="1:13">
      <c r="A62" s="39"/>
      <c r="B62" s="39"/>
      <c r="C62" s="39"/>
      <c r="D62" s="39"/>
      <c r="E62" s="39"/>
      <c r="F62" s="39"/>
      <c r="G62" s="39"/>
      <c r="H62" s="39"/>
      <c r="I62" s="39"/>
      <c r="J62" s="39"/>
      <c r="K62" s="39"/>
      <c r="L62" s="39"/>
      <c r="M62" s="39"/>
    </row>
    <row r="63" spans="1:13">
      <c r="A63" s="39"/>
      <c r="B63" s="39"/>
      <c r="C63" s="39"/>
      <c r="D63" s="39"/>
      <c r="E63" s="39"/>
      <c r="F63" s="39"/>
      <c r="G63" s="39"/>
      <c r="H63" s="39"/>
      <c r="I63" s="39"/>
      <c r="J63" s="39"/>
      <c r="K63" s="39"/>
      <c r="L63" s="39"/>
      <c r="M63" s="39"/>
    </row>
    <row r="64" spans="1:13">
      <c r="A64" s="39"/>
      <c r="B64" s="39"/>
      <c r="C64" s="39"/>
      <c r="D64" s="39"/>
      <c r="E64" s="39"/>
      <c r="F64" s="39"/>
      <c r="G64" s="39"/>
      <c r="H64" s="39"/>
      <c r="I64" s="39"/>
      <c r="J64" s="39"/>
      <c r="K64" s="39"/>
      <c r="L64" s="39"/>
      <c r="M64" s="39"/>
    </row>
    <row r="65" spans="1:13">
      <c r="A65" s="39"/>
      <c r="B65" s="39"/>
      <c r="C65" s="39"/>
      <c r="D65" s="39"/>
      <c r="E65" s="39"/>
      <c r="F65" s="39"/>
      <c r="G65" s="39"/>
      <c r="H65" s="39"/>
      <c r="I65" s="39"/>
      <c r="J65" s="39"/>
      <c r="K65" s="39"/>
      <c r="L65" s="39"/>
      <c r="M65" s="39"/>
    </row>
    <row r="66" spans="1:13">
      <c r="A66" s="39"/>
      <c r="B66" s="39"/>
      <c r="C66" s="39"/>
      <c r="D66" s="39"/>
      <c r="E66" s="39"/>
      <c r="F66" s="39"/>
      <c r="G66" s="39"/>
      <c r="H66" s="39"/>
      <c r="I66" s="39"/>
      <c r="J66" s="39"/>
      <c r="K66" s="39"/>
      <c r="L66" s="39"/>
      <c r="M66" s="39"/>
    </row>
    <row r="67" spans="1:13">
      <c r="A67" s="39"/>
      <c r="B67" s="39"/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</row>
    <row r="68" spans="1:13">
      <c r="A68" s="39"/>
      <c r="B68" s="39"/>
      <c r="C68" s="39"/>
      <c r="D68" s="39"/>
      <c r="E68" s="39"/>
      <c r="F68" s="39"/>
      <c r="G68" s="39"/>
      <c r="H68" s="39"/>
      <c r="I68" s="39"/>
      <c r="J68" s="39"/>
      <c r="K68" s="39"/>
      <c r="L68" s="39"/>
      <c r="M68" s="39"/>
    </row>
    <row r="69" spans="1:13">
      <c r="A69" s="39"/>
      <c r="B69" s="39"/>
      <c r="C69" s="39"/>
      <c r="D69" s="39"/>
      <c r="E69" s="39"/>
      <c r="F69" s="39"/>
      <c r="G69" s="39"/>
      <c r="H69" s="39"/>
      <c r="I69" s="39"/>
      <c r="J69" s="39"/>
      <c r="K69" s="39"/>
      <c r="L69" s="39"/>
      <c r="M69" s="39"/>
    </row>
    <row r="70" spans="1:13">
      <c r="A70" s="39"/>
      <c r="B70" s="39"/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</row>
  </sheetData>
  <mergeCells count="23">
    <mergeCell ref="C28:I28"/>
    <mergeCell ref="C29:I29"/>
    <mergeCell ref="C30:I30"/>
    <mergeCell ref="C23:I23"/>
    <mergeCell ref="C24:I24"/>
    <mergeCell ref="C25:I25"/>
    <mergeCell ref="C26:I26"/>
    <mergeCell ref="C27:I27"/>
    <mergeCell ref="E17:I17"/>
    <mergeCell ref="E18:I18"/>
    <mergeCell ref="E19:I19"/>
    <mergeCell ref="A21:I21"/>
    <mergeCell ref="C22:I22"/>
    <mergeCell ref="E12:I12"/>
    <mergeCell ref="E13:I13"/>
    <mergeCell ref="E14:I14"/>
    <mergeCell ref="E15:I15"/>
    <mergeCell ref="E16:I16"/>
    <mergeCell ref="A1:I2"/>
    <mergeCell ref="A3:I3"/>
    <mergeCell ref="D5:I5"/>
    <mergeCell ref="D6:I9"/>
    <mergeCell ref="A11:I11"/>
  </mergeCells>
  <conditionalFormatting sqref="E13:I19">
    <cfRule type="expression" dxfId="8" priority="1">
      <formula>E13="Completado"</formula>
    </cfRule>
    <cfRule type="expression" dxfId="7" priority="2">
      <formula>E13="En curso"</formula>
    </cfRule>
  </conditionalFormatting>
  <dataValidations count="1">
    <dataValidation type="list" sqref="E13:I19" xr:uid="{00000000-0002-0000-0000-000000000000}">
      <formula1>"Pendiente,En curso,Completado"</formula1>
    </dataValidation>
  </dataValidations>
  <printOptions horizontalCentered="1"/>
  <pageMargins left="0.25" right="0.25" top="0.5" bottom="0.5" header="0.2" footer="0.2"/>
  <pageSetup paperSize="9" scale="77" fitToHeight="0" orientation="landscape" horizontalDpi="300" verticalDpi="300" r:id="rId1"/>
  <headerFooter>
    <oddFooter>&amp;LGuía Excel básico&amp;C&amp;P de &amp;N&amp;R&amp;D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autoPageBreaks="0" fitToPage="1"/>
  </sheetPr>
  <dimension ref="A1:M70"/>
  <sheetViews>
    <sheetView topLeftCell="D1" workbookViewId="0">
      <selection activeCell="C12" sqref="C12:J12"/>
    </sheetView>
  </sheetViews>
  <sheetFormatPr baseColWidth="10" defaultColWidth="8.6640625" defaultRowHeight="14"/>
  <cols>
    <col min="1" max="1" width="18" customWidth="1"/>
    <col min="2" max="2" width="24" customWidth="1"/>
    <col min="3" max="3" width="26" customWidth="1"/>
    <col min="4" max="4" width="24" customWidth="1"/>
    <col min="5" max="8" width="15" customWidth="1"/>
    <col min="9" max="9" width="18" customWidth="1"/>
    <col min="10" max="10" width="24" customWidth="1"/>
  </cols>
  <sheetData>
    <row r="1" spans="1:13" ht="16.649999999999999" customHeight="1">
      <c r="A1" s="46" t="s">
        <v>70</v>
      </c>
      <c r="B1" s="47"/>
      <c r="C1" s="47"/>
      <c r="D1" s="47"/>
      <c r="E1" s="47"/>
      <c r="F1" s="47"/>
      <c r="G1" s="47"/>
      <c r="H1" s="47"/>
      <c r="I1" s="47"/>
      <c r="J1" s="48"/>
      <c r="K1" s="39"/>
      <c r="L1" s="39"/>
      <c r="M1" s="39"/>
    </row>
    <row r="2" spans="1:13" ht="16.649999999999999" customHeight="1">
      <c r="A2" s="49"/>
      <c r="B2" s="50"/>
      <c r="C2" s="50"/>
      <c r="D2" s="50"/>
      <c r="E2" s="50"/>
      <c r="F2" s="50"/>
      <c r="G2" s="50"/>
      <c r="H2" s="50"/>
      <c r="I2" s="50"/>
      <c r="J2" s="51"/>
      <c r="K2" s="39"/>
      <c r="L2" s="39"/>
      <c r="M2" s="39"/>
    </row>
    <row r="3" spans="1:13" ht="20" customHeight="1">
      <c r="A3" s="52" t="s">
        <v>71</v>
      </c>
      <c r="B3" s="53"/>
      <c r="C3" s="53"/>
      <c r="D3" s="53"/>
      <c r="E3" s="53"/>
      <c r="F3" s="53"/>
      <c r="G3" s="53"/>
      <c r="H3" s="53"/>
      <c r="I3" s="53"/>
      <c r="J3" s="54"/>
      <c r="K3" s="39"/>
      <c r="L3" s="39"/>
      <c r="M3" s="39"/>
    </row>
    <row r="4" spans="1:13">
      <c r="A4" s="39"/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</row>
    <row r="5" spans="1:13" ht="16" customHeight="1">
      <c r="A5" s="55" t="s">
        <v>72</v>
      </c>
      <c r="B5" s="56"/>
      <c r="C5" s="56"/>
      <c r="D5" s="56"/>
      <c r="E5" s="56"/>
      <c r="F5" s="56"/>
      <c r="G5" s="56"/>
      <c r="H5" s="56"/>
      <c r="I5" s="56"/>
      <c r="J5" s="57"/>
      <c r="K5" s="39"/>
      <c r="L5" s="39"/>
      <c r="M5" s="39"/>
    </row>
    <row r="6" spans="1:13" ht="14.5">
      <c r="A6" s="1" t="s">
        <v>73</v>
      </c>
      <c r="B6" s="1" t="s">
        <v>74</v>
      </c>
      <c r="C6" s="59" t="s">
        <v>75</v>
      </c>
      <c r="D6" s="59"/>
      <c r="E6" s="59"/>
      <c r="F6" s="59"/>
      <c r="G6" s="59"/>
      <c r="H6" s="59"/>
      <c r="I6" s="59"/>
      <c r="J6" s="59"/>
      <c r="K6" s="39"/>
      <c r="L6" s="39"/>
      <c r="M6" s="39"/>
    </row>
    <row r="7" spans="1:13" ht="22.65" customHeight="1">
      <c r="A7" s="43" t="s">
        <v>76</v>
      </c>
      <c r="B7" s="2" t="s">
        <v>77</v>
      </c>
      <c r="C7" s="60" t="s">
        <v>78</v>
      </c>
      <c r="D7" s="60"/>
      <c r="E7" s="60"/>
      <c r="F7" s="60"/>
      <c r="G7" s="60"/>
      <c r="H7" s="60"/>
      <c r="I7" s="60"/>
      <c r="J7" s="60"/>
      <c r="K7" s="39"/>
      <c r="L7" s="39"/>
      <c r="M7" s="39"/>
    </row>
    <row r="8" spans="1:13" ht="22.65" customHeight="1">
      <c r="A8" s="43" t="s">
        <v>79</v>
      </c>
      <c r="B8" s="2" t="s">
        <v>80</v>
      </c>
      <c r="C8" s="60" t="s">
        <v>81</v>
      </c>
      <c r="D8" s="60"/>
      <c r="E8" s="60"/>
      <c r="F8" s="60"/>
      <c r="G8" s="60"/>
      <c r="H8" s="60"/>
      <c r="I8" s="60"/>
      <c r="J8" s="60"/>
      <c r="K8" s="39"/>
      <c r="L8" s="39"/>
      <c r="M8" s="39"/>
    </row>
    <row r="9" spans="1:13" ht="22.65" customHeight="1">
      <c r="A9" s="43" t="s">
        <v>82</v>
      </c>
      <c r="B9" s="2" t="s">
        <v>83</v>
      </c>
      <c r="C9" s="60" t="s">
        <v>84</v>
      </c>
      <c r="D9" s="60"/>
      <c r="E9" s="60"/>
      <c r="F9" s="60"/>
      <c r="G9" s="60"/>
      <c r="H9" s="60"/>
      <c r="I9" s="60"/>
      <c r="J9" s="60"/>
      <c r="K9" s="39"/>
      <c r="L9" s="39"/>
      <c r="M9" s="39"/>
    </row>
    <row r="10" spans="1:13" ht="22.65" customHeight="1">
      <c r="A10" s="43" t="s">
        <v>85</v>
      </c>
      <c r="B10" s="2" t="s">
        <v>86</v>
      </c>
      <c r="C10" s="60" t="s">
        <v>87</v>
      </c>
      <c r="D10" s="60"/>
      <c r="E10" s="60"/>
      <c r="F10" s="60"/>
      <c r="G10" s="60"/>
      <c r="H10" s="60"/>
      <c r="I10" s="60"/>
      <c r="J10" s="60"/>
      <c r="K10" s="39"/>
      <c r="L10" s="39"/>
      <c r="M10" s="39"/>
    </row>
    <row r="11" spans="1:13" ht="22.65" customHeight="1">
      <c r="A11" s="43" t="s">
        <v>88</v>
      </c>
      <c r="B11" s="2" t="s">
        <v>89</v>
      </c>
      <c r="C11" s="60" t="s">
        <v>90</v>
      </c>
      <c r="D11" s="60"/>
      <c r="E11" s="60"/>
      <c r="F11" s="60"/>
      <c r="G11" s="60"/>
      <c r="H11" s="60"/>
      <c r="I11" s="60"/>
      <c r="J11" s="60"/>
      <c r="K11" s="39"/>
      <c r="L11" s="39"/>
      <c r="M11" s="39"/>
    </row>
    <row r="12" spans="1:13" ht="22.65" customHeight="1">
      <c r="A12" s="43" t="s">
        <v>91</v>
      </c>
      <c r="B12" s="2" t="s">
        <v>92</v>
      </c>
      <c r="C12" s="60" t="s">
        <v>93</v>
      </c>
      <c r="D12" s="60"/>
      <c r="E12" s="60"/>
      <c r="F12" s="60"/>
      <c r="G12" s="60"/>
      <c r="H12" s="60"/>
      <c r="I12" s="60"/>
      <c r="J12" s="60"/>
      <c r="K12" s="39"/>
      <c r="L12" s="39"/>
      <c r="M12" s="39"/>
    </row>
    <row r="13" spans="1:13" ht="22.65" customHeight="1">
      <c r="A13" s="43" t="s">
        <v>94</v>
      </c>
      <c r="B13" s="2" t="s">
        <v>92</v>
      </c>
      <c r="C13" s="60" t="s">
        <v>95</v>
      </c>
      <c r="D13" s="60"/>
      <c r="E13" s="60"/>
      <c r="F13" s="60"/>
      <c r="G13" s="60"/>
      <c r="H13" s="60"/>
      <c r="I13" s="60"/>
      <c r="J13" s="60"/>
      <c r="K13" s="39"/>
      <c r="L13" s="39"/>
      <c r="M13" s="39"/>
    </row>
    <row r="14" spans="1:13" ht="22.65" customHeight="1">
      <c r="A14" s="43" t="s">
        <v>96</v>
      </c>
      <c r="B14" s="2" t="s">
        <v>97</v>
      </c>
      <c r="C14" s="60" t="s">
        <v>98</v>
      </c>
      <c r="D14" s="60"/>
      <c r="E14" s="60"/>
      <c r="F14" s="60"/>
      <c r="G14" s="60"/>
      <c r="H14" s="60"/>
      <c r="I14" s="60"/>
      <c r="J14" s="60"/>
      <c r="K14" s="39"/>
      <c r="L14" s="39"/>
      <c r="M14" s="39"/>
    </row>
    <row r="15" spans="1:13">
      <c r="A15" s="39"/>
      <c r="B15" s="39"/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</row>
    <row r="16" spans="1:13" ht="16" customHeight="1">
      <c r="A16" s="55" t="s">
        <v>99</v>
      </c>
      <c r="B16" s="56"/>
      <c r="C16" s="56"/>
      <c r="D16" s="56"/>
      <c r="E16" s="56"/>
      <c r="F16" s="56"/>
      <c r="G16" s="56"/>
      <c r="H16" s="56"/>
      <c r="I16" s="56"/>
      <c r="J16" s="57"/>
      <c r="K16" s="39"/>
      <c r="L16" s="39"/>
      <c r="M16" s="39"/>
    </row>
    <row r="17" spans="1:13">
      <c r="A17" s="40" t="s">
        <v>100</v>
      </c>
      <c r="B17" s="61" t="s">
        <v>101</v>
      </c>
      <c r="C17" s="61"/>
      <c r="D17" s="61"/>
      <c r="E17" s="61"/>
      <c r="F17" s="61"/>
      <c r="G17" s="61"/>
      <c r="H17" s="61"/>
      <c r="I17" s="61"/>
      <c r="J17" s="61"/>
      <c r="K17" s="39"/>
      <c r="L17" s="39"/>
      <c r="M17" s="39"/>
    </row>
    <row r="18" spans="1:13" ht="26">
      <c r="A18" s="44" t="s">
        <v>102</v>
      </c>
      <c r="B18" s="58" t="s">
        <v>103</v>
      </c>
      <c r="C18" s="58"/>
      <c r="D18" s="58"/>
      <c r="E18" s="58"/>
      <c r="F18" s="58"/>
      <c r="G18" s="58"/>
      <c r="H18" s="58"/>
      <c r="I18" s="58"/>
      <c r="J18" s="58"/>
      <c r="K18" s="39"/>
      <c r="L18" s="39"/>
      <c r="M18" s="39"/>
    </row>
    <row r="19" spans="1:13">
      <c r="A19" s="44" t="s">
        <v>104</v>
      </c>
      <c r="B19" s="58" t="s">
        <v>105</v>
      </c>
      <c r="C19" s="58"/>
      <c r="D19" s="58"/>
      <c r="E19" s="58"/>
      <c r="F19" s="58"/>
      <c r="G19" s="58"/>
      <c r="H19" s="58"/>
      <c r="I19" s="58"/>
      <c r="J19" s="58"/>
      <c r="K19" s="39"/>
      <c r="L19" s="39"/>
      <c r="M19" s="39"/>
    </row>
    <row r="20" spans="1:13">
      <c r="A20" s="44" t="s">
        <v>106</v>
      </c>
      <c r="B20" s="58" t="s">
        <v>107</v>
      </c>
      <c r="C20" s="58"/>
      <c r="D20" s="58"/>
      <c r="E20" s="58"/>
      <c r="F20" s="58"/>
      <c r="G20" s="58"/>
      <c r="H20" s="58"/>
      <c r="I20" s="58"/>
      <c r="J20" s="58"/>
      <c r="K20" s="39"/>
      <c r="L20" s="39"/>
      <c r="M20" s="39"/>
    </row>
    <row r="21" spans="1:13">
      <c r="A21" s="44" t="s">
        <v>108</v>
      </c>
      <c r="B21" s="58" t="s">
        <v>109</v>
      </c>
      <c r="C21" s="58"/>
      <c r="D21" s="58"/>
      <c r="E21" s="58"/>
      <c r="F21" s="58"/>
      <c r="G21" s="58"/>
      <c r="H21" s="58"/>
      <c r="I21" s="58"/>
      <c r="J21" s="58"/>
      <c r="K21" s="39"/>
      <c r="L21" s="39"/>
      <c r="M21" s="39"/>
    </row>
    <row r="22" spans="1:13">
      <c r="A22" s="44" t="s">
        <v>110</v>
      </c>
      <c r="B22" s="58" t="s">
        <v>111</v>
      </c>
      <c r="C22" s="58"/>
      <c r="D22" s="58"/>
      <c r="E22" s="58"/>
      <c r="F22" s="58"/>
      <c r="G22" s="58"/>
      <c r="H22" s="58"/>
      <c r="I22" s="58"/>
      <c r="J22" s="58"/>
      <c r="K22" s="39"/>
      <c r="L22" s="39"/>
      <c r="M22" s="39"/>
    </row>
    <row r="23" spans="1:13">
      <c r="A23" s="39"/>
      <c r="B23" s="39"/>
      <c r="C23" s="39"/>
      <c r="D23" s="39"/>
      <c r="E23" s="39"/>
      <c r="F23" s="39"/>
      <c r="G23" s="39"/>
      <c r="H23" s="39"/>
      <c r="I23" s="39"/>
      <c r="J23" s="39"/>
      <c r="K23" s="39"/>
      <c r="L23" s="39"/>
      <c r="M23" s="39"/>
    </row>
    <row r="24" spans="1:13" ht="29">
      <c r="A24" s="1" t="s">
        <v>112</v>
      </c>
      <c r="B24" s="1" t="s">
        <v>113</v>
      </c>
      <c r="C24" s="1" t="s">
        <v>114</v>
      </c>
      <c r="D24" s="1" t="s">
        <v>115</v>
      </c>
      <c r="E24" s="1" t="s">
        <v>116</v>
      </c>
      <c r="F24" s="1" t="s">
        <v>117</v>
      </c>
      <c r="G24" s="39"/>
      <c r="H24" s="39"/>
      <c r="I24" s="39"/>
      <c r="J24" s="39"/>
      <c r="K24" s="39"/>
      <c r="L24" s="39"/>
      <c r="M24" s="39"/>
    </row>
    <row r="25" spans="1:13" ht="39">
      <c r="A25" s="9" t="s">
        <v>118</v>
      </c>
      <c r="B25" s="9" t="s">
        <v>119</v>
      </c>
      <c r="C25" s="9" t="s">
        <v>120</v>
      </c>
      <c r="D25" s="10" t="s">
        <v>121</v>
      </c>
      <c r="E25" s="2" t="s">
        <v>122</v>
      </c>
      <c r="F25" s="2" t="s">
        <v>123</v>
      </c>
      <c r="G25" s="39"/>
      <c r="H25" s="39"/>
      <c r="I25" s="39"/>
      <c r="J25" s="39"/>
      <c r="K25" s="39"/>
      <c r="L25" s="39"/>
      <c r="M25" s="39"/>
    </row>
    <row r="26" spans="1:13" ht="52">
      <c r="A26" s="9" t="s">
        <v>124</v>
      </c>
      <c r="B26" s="11">
        <v>1250.5</v>
      </c>
      <c r="C26" s="9" t="s">
        <v>125</v>
      </c>
      <c r="D26" s="15">
        <v>2500</v>
      </c>
      <c r="E26" s="2" t="s">
        <v>126</v>
      </c>
      <c r="F26" s="2" t="s">
        <v>127</v>
      </c>
      <c r="G26" s="39"/>
      <c r="H26" s="39"/>
      <c r="I26" s="39"/>
      <c r="J26" s="39"/>
      <c r="K26" s="39"/>
      <c r="L26" s="39"/>
      <c r="M26" s="39"/>
    </row>
    <row r="27" spans="1:13" ht="26">
      <c r="A27" s="9" t="s">
        <v>128</v>
      </c>
      <c r="B27" s="12">
        <v>0.15</v>
      </c>
      <c r="C27" s="9" t="s">
        <v>129</v>
      </c>
      <c r="D27" s="16">
        <v>0.25</v>
      </c>
      <c r="E27" s="2" t="s">
        <v>130</v>
      </c>
      <c r="F27" s="2" t="s">
        <v>131</v>
      </c>
      <c r="G27" s="39"/>
      <c r="H27" s="39"/>
      <c r="I27" s="39"/>
      <c r="J27" s="39"/>
      <c r="K27" s="39"/>
      <c r="L27" s="39"/>
      <c r="M27" s="39"/>
    </row>
    <row r="28" spans="1:13" ht="39">
      <c r="A28" s="9" t="s">
        <v>132</v>
      </c>
      <c r="B28" s="13">
        <v>46222</v>
      </c>
      <c r="C28" s="9" t="s">
        <v>133</v>
      </c>
      <c r="D28" s="17">
        <v>46235</v>
      </c>
      <c r="E28" s="2" t="s">
        <v>134</v>
      </c>
      <c r="F28" s="2" t="s">
        <v>135</v>
      </c>
      <c r="G28" s="39"/>
      <c r="H28" s="39"/>
      <c r="I28" s="39"/>
      <c r="J28" s="39"/>
      <c r="K28" s="39"/>
      <c r="L28" s="39"/>
      <c r="M28" s="39"/>
    </row>
    <row r="29" spans="1:13" ht="39">
      <c r="A29" s="9" t="s">
        <v>136</v>
      </c>
      <c r="B29" s="14" t="s">
        <v>137</v>
      </c>
      <c r="C29" s="9" t="s">
        <v>138</v>
      </c>
      <c r="D29" s="18" t="s">
        <v>139</v>
      </c>
      <c r="E29" s="2" t="s">
        <v>137</v>
      </c>
      <c r="F29" s="2" t="s">
        <v>140</v>
      </c>
      <c r="G29" s="39"/>
      <c r="H29" s="39"/>
      <c r="I29" s="39"/>
      <c r="J29" s="39"/>
      <c r="K29" s="39"/>
      <c r="L29" s="39"/>
      <c r="M29" s="39"/>
    </row>
    <row r="30" spans="1:13">
      <c r="A30" s="39"/>
      <c r="B30" s="39"/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39"/>
    </row>
    <row r="31" spans="1:13" ht="16" customHeight="1">
      <c r="A31" s="55" t="s">
        <v>141</v>
      </c>
      <c r="B31" s="56"/>
      <c r="C31" s="56"/>
      <c r="D31" s="56"/>
      <c r="E31" s="56"/>
      <c r="F31" s="56"/>
      <c r="G31" s="56"/>
      <c r="H31" s="56"/>
      <c r="I31" s="56"/>
      <c r="J31" s="57"/>
      <c r="K31" s="39"/>
      <c r="L31" s="39"/>
      <c r="M31" s="39"/>
    </row>
    <row r="32" spans="1:13">
      <c r="A32" s="58" t="s">
        <v>142</v>
      </c>
      <c r="B32" s="58"/>
      <c r="C32" s="58"/>
      <c r="D32" s="58"/>
      <c r="E32" s="58"/>
      <c r="F32" s="58"/>
      <c r="G32" s="58"/>
      <c r="H32" s="58"/>
      <c r="I32" s="58"/>
      <c r="J32" s="58"/>
      <c r="K32" s="39"/>
      <c r="L32" s="39"/>
      <c r="M32" s="39"/>
    </row>
    <row r="33" spans="1:13">
      <c r="A33" s="58"/>
      <c r="B33" s="58"/>
      <c r="C33" s="58"/>
      <c r="D33" s="58"/>
      <c r="E33" s="58"/>
      <c r="F33" s="58"/>
      <c r="G33" s="58"/>
      <c r="H33" s="58"/>
      <c r="I33" s="58"/>
      <c r="J33" s="58"/>
      <c r="K33" s="39"/>
      <c r="L33" s="39"/>
      <c r="M33" s="39"/>
    </row>
    <row r="34" spans="1:13">
      <c r="A34" s="39"/>
      <c r="B34" s="39"/>
      <c r="C34" s="39"/>
      <c r="D34" s="39"/>
      <c r="E34" s="39"/>
      <c r="F34" s="39"/>
      <c r="G34" s="39"/>
      <c r="H34" s="39"/>
      <c r="I34" s="39"/>
      <c r="J34" s="39"/>
      <c r="K34" s="39"/>
      <c r="L34" s="39"/>
      <c r="M34" s="39"/>
    </row>
    <row r="35" spans="1:13" ht="29">
      <c r="A35" s="1" t="s">
        <v>143</v>
      </c>
      <c r="B35" s="1" t="s">
        <v>144</v>
      </c>
      <c r="C35" s="1" t="s">
        <v>145</v>
      </c>
      <c r="D35" s="1" t="s">
        <v>146</v>
      </c>
      <c r="E35" s="1"/>
      <c r="F35" s="1"/>
      <c r="G35" s="1" t="s">
        <v>116</v>
      </c>
      <c r="H35" s="1"/>
      <c r="I35" s="1"/>
      <c r="J35" s="1" t="s">
        <v>43</v>
      </c>
      <c r="K35" s="39"/>
      <c r="L35" s="39"/>
      <c r="M35" s="39"/>
    </row>
    <row r="36" spans="1:13" ht="26">
      <c r="A36" s="2" t="s">
        <v>147</v>
      </c>
      <c r="B36" s="2">
        <v>1</v>
      </c>
      <c r="C36" s="2">
        <v>2</v>
      </c>
      <c r="D36" s="62"/>
      <c r="E36" s="62"/>
      <c r="F36" s="62"/>
      <c r="G36" s="60" t="s">
        <v>148</v>
      </c>
      <c r="H36" s="60"/>
      <c r="I36" s="60"/>
      <c r="J36" s="2" t="s">
        <v>149</v>
      </c>
      <c r="K36" s="39"/>
      <c r="L36" s="39"/>
      <c r="M36" s="39"/>
    </row>
    <row r="37" spans="1:13" ht="26">
      <c r="A37" s="2" t="s">
        <v>150</v>
      </c>
      <c r="B37" s="2" t="s">
        <v>151</v>
      </c>
      <c r="C37" s="2" t="s">
        <v>152</v>
      </c>
      <c r="D37" s="62"/>
      <c r="E37" s="62"/>
      <c r="F37" s="62"/>
      <c r="G37" s="60" t="s">
        <v>153</v>
      </c>
      <c r="H37" s="60"/>
      <c r="I37" s="60"/>
      <c r="J37" s="2" t="s">
        <v>154</v>
      </c>
      <c r="K37" s="39"/>
      <c r="L37" s="39"/>
      <c r="M37" s="39"/>
    </row>
    <row r="38" spans="1:13" ht="26">
      <c r="A38" s="2" t="s">
        <v>155</v>
      </c>
      <c r="B38" s="19">
        <v>46204</v>
      </c>
      <c r="C38" s="19">
        <v>46205</v>
      </c>
      <c r="D38" s="62"/>
      <c r="E38" s="62"/>
      <c r="F38" s="62"/>
      <c r="G38" s="60" t="s">
        <v>156</v>
      </c>
      <c r="H38" s="60"/>
      <c r="I38" s="60"/>
      <c r="J38" s="2" t="s">
        <v>157</v>
      </c>
      <c r="K38" s="39"/>
      <c r="L38" s="39"/>
      <c r="M38" s="39"/>
    </row>
    <row r="39" spans="1:13">
      <c r="A39" s="39"/>
      <c r="B39" s="39"/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</row>
    <row r="40" spans="1:13" ht="14.5">
      <c r="A40" s="1" t="s">
        <v>158</v>
      </c>
      <c r="B40" s="1" t="s">
        <v>159</v>
      </c>
      <c r="C40" s="1" t="s">
        <v>160</v>
      </c>
      <c r="D40" s="1" t="s">
        <v>161</v>
      </c>
      <c r="E40" s="39"/>
      <c r="F40" s="39"/>
      <c r="G40" s="39"/>
      <c r="H40" s="39"/>
      <c r="I40" s="39"/>
      <c r="J40" s="39"/>
      <c r="K40" s="39"/>
      <c r="L40" s="39"/>
      <c r="M40" s="39"/>
    </row>
    <row r="41" spans="1:13">
      <c r="A41" s="9" t="s">
        <v>162</v>
      </c>
      <c r="B41" s="9" t="s">
        <v>163</v>
      </c>
      <c r="C41" s="9" t="s">
        <v>164</v>
      </c>
      <c r="D41" s="7" t="s">
        <v>165</v>
      </c>
      <c r="E41" s="39"/>
      <c r="F41" s="39"/>
      <c r="G41" s="39"/>
      <c r="H41" s="39"/>
      <c r="I41" s="39"/>
      <c r="J41" s="39"/>
      <c r="K41" s="39"/>
      <c r="L41" s="39"/>
      <c r="M41" s="39"/>
    </row>
    <row r="42" spans="1:13" ht="39">
      <c r="A42" s="2" t="s">
        <v>166</v>
      </c>
      <c r="B42" s="10"/>
      <c r="C42" s="10"/>
      <c r="D42" s="7" t="s">
        <v>167</v>
      </c>
      <c r="E42" s="39"/>
      <c r="F42" s="39"/>
      <c r="G42" s="39"/>
      <c r="H42" s="39"/>
      <c r="I42" s="39"/>
      <c r="J42" s="39"/>
      <c r="K42" s="39"/>
      <c r="L42" s="39"/>
      <c r="M42" s="39"/>
    </row>
    <row r="43" spans="1:13">
      <c r="A43" s="2" t="s">
        <v>168</v>
      </c>
      <c r="B43" s="10"/>
      <c r="C43" s="10"/>
      <c r="D43" s="7"/>
      <c r="E43" s="39"/>
      <c r="F43" s="39"/>
      <c r="G43" s="39"/>
      <c r="H43" s="39"/>
      <c r="I43" s="39"/>
      <c r="J43" s="39"/>
      <c r="K43" s="39"/>
      <c r="L43" s="39"/>
      <c r="M43" s="39"/>
    </row>
    <row r="44" spans="1:13">
      <c r="A44" s="2" t="s">
        <v>169</v>
      </c>
      <c r="B44" s="10"/>
      <c r="C44" s="10"/>
      <c r="D44" s="7"/>
      <c r="E44" s="39"/>
      <c r="F44" s="39"/>
      <c r="G44" s="39"/>
      <c r="H44" s="39"/>
      <c r="I44" s="39"/>
      <c r="J44" s="39"/>
      <c r="K44" s="39"/>
      <c r="L44" s="39"/>
      <c r="M44" s="39"/>
    </row>
    <row r="45" spans="1:13">
      <c r="A45" s="2" t="s">
        <v>170</v>
      </c>
      <c r="B45" s="10"/>
      <c r="C45" s="10"/>
      <c r="D45" s="7"/>
      <c r="E45" s="39"/>
      <c r="F45" s="39"/>
      <c r="G45" s="39"/>
      <c r="H45" s="39"/>
      <c r="I45" s="39"/>
      <c r="J45" s="39"/>
      <c r="K45" s="39"/>
      <c r="L45" s="39"/>
      <c r="M45" s="39"/>
    </row>
    <row r="46" spans="1:13">
      <c r="A46" s="39"/>
      <c r="B46" s="39"/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</row>
    <row r="47" spans="1:13">
      <c r="A47" s="39"/>
      <c r="B47" s="39"/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</row>
    <row r="48" spans="1:13">
      <c r="A48" s="39"/>
      <c r="B48" s="39"/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</row>
    <row r="49" spans="1:13">
      <c r="A49" s="39"/>
      <c r="B49" s="39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</row>
    <row r="50" spans="1:13">
      <c r="A50" s="39"/>
      <c r="B50" s="39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</row>
    <row r="51" spans="1:13">
      <c r="A51" s="39"/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39"/>
      <c r="M51" s="39"/>
    </row>
    <row r="52" spans="1:13">
      <c r="A52" s="39"/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39"/>
    </row>
    <row r="53" spans="1:13">
      <c r="A53" s="39"/>
      <c r="B53" s="39"/>
      <c r="C53" s="39"/>
      <c r="D53" s="39"/>
      <c r="E53" s="39"/>
      <c r="F53" s="39"/>
      <c r="G53" s="39"/>
      <c r="H53" s="39"/>
      <c r="I53" s="39"/>
      <c r="J53" s="39"/>
      <c r="K53" s="39"/>
      <c r="L53" s="39"/>
      <c r="M53" s="39"/>
    </row>
    <row r="54" spans="1:13">
      <c r="A54" s="39"/>
      <c r="B54" s="39"/>
      <c r="C54" s="39"/>
      <c r="D54" s="39"/>
      <c r="E54" s="39"/>
      <c r="F54" s="39"/>
      <c r="G54" s="39"/>
      <c r="H54" s="39"/>
      <c r="I54" s="39"/>
      <c r="J54" s="39"/>
      <c r="K54" s="39"/>
      <c r="L54" s="39"/>
      <c r="M54" s="39"/>
    </row>
    <row r="55" spans="1:13">
      <c r="A55" s="39"/>
      <c r="B55" s="39"/>
      <c r="C55" s="39"/>
      <c r="D55" s="39"/>
      <c r="E55" s="39"/>
      <c r="F55" s="39"/>
      <c r="G55" s="39"/>
      <c r="H55" s="39"/>
      <c r="I55" s="39"/>
      <c r="J55" s="39"/>
      <c r="K55" s="39"/>
      <c r="L55" s="39"/>
      <c r="M55" s="39"/>
    </row>
    <row r="56" spans="1:13">
      <c r="A56" s="39"/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</row>
    <row r="57" spans="1:13">
      <c r="A57" s="39"/>
      <c r="B57" s="39"/>
      <c r="C57" s="39"/>
      <c r="D57" s="39"/>
      <c r="E57" s="39"/>
      <c r="F57" s="39"/>
      <c r="G57" s="39"/>
      <c r="H57" s="39"/>
      <c r="I57" s="39"/>
      <c r="J57" s="39"/>
      <c r="K57" s="39"/>
      <c r="L57" s="39"/>
      <c r="M57" s="39"/>
    </row>
    <row r="58" spans="1:13">
      <c r="A58" s="39"/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39"/>
    </row>
    <row r="59" spans="1:13">
      <c r="A59" s="39"/>
      <c r="B59" s="39"/>
      <c r="C59" s="39"/>
      <c r="D59" s="39"/>
      <c r="E59" s="39"/>
      <c r="F59" s="39"/>
      <c r="G59" s="39"/>
      <c r="H59" s="39"/>
      <c r="I59" s="39"/>
      <c r="J59" s="39"/>
      <c r="K59" s="39"/>
      <c r="L59" s="39"/>
      <c r="M59" s="39"/>
    </row>
    <row r="60" spans="1:13">
      <c r="A60" s="39"/>
      <c r="B60" s="39"/>
      <c r="C60" s="39"/>
      <c r="D60" s="39"/>
      <c r="E60" s="39"/>
      <c r="F60" s="39"/>
      <c r="G60" s="39"/>
      <c r="H60" s="39"/>
      <c r="I60" s="39"/>
      <c r="J60" s="39"/>
      <c r="K60" s="39"/>
      <c r="L60" s="39"/>
      <c r="M60" s="39"/>
    </row>
    <row r="61" spans="1:13">
      <c r="A61" s="39"/>
      <c r="B61" s="39"/>
      <c r="C61" s="39"/>
      <c r="D61" s="39"/>
      <c r="E61" s="39"/>
      <c r="F61" s="39"/>
      <c r="G61" s="39"/>
      <c r="H61" s="39"/>
      <c r="I61" s="39"/>
      <c r="J61" s="39"/>
      <c r="K61" s="39"/>
      <c r="L61" s="39"/>
      <c r="M61" s="39"/>
    </row>
    <row r="62" spans="1:13">
      <c r="A62" s="39"/>
      <c r="B62" s="39"/>
      <c r="C62" s="39"/>
      <c r="D62" s="39"/>
      <c r="E62" s="39"/>
      <c r="F62" s="39"/>
      <c r="G62" s="39"/>
      <c r="H62" s="39"/>
      <c r="I62" s="39"/>
      <c r="J62" s="39"/>
      <c r="K62" s="39"/>
      <c r="L62" s="39"/>
      <c r="M62" s="39"/>
    </row>
    <row r="63" spans="1:13">
      <c r="A63" s="39"/>
      <c r="B63" s="39"/>
      <c r="C63" s="39"/>
      <c r="D63" s="39"/>
      <c r="E63" s="39"/>
      <c r="F63" s="39"/>
      <c r="G63" s="39"/>
      <c r="H63" s="39"/>
      <c r="I63" s="39"/>
      <c r="J63" s="39"/>
      <c r="K63" s="39"/>
      <c r="L63" s="39"/>
      <c r="M63" s="39"/>
    </row>
    <row r="64" spans="1:13">
      <c r="A64" s="39"/>
      <c r="B64" s="39"/>
      <c r="C64" s="39"/>
      <c r="D64" s="39"/>
      <c r="E64" s="39"/>
      <c r="F64" s="39"/>
      <c r="G64" s="39"/>
      <c r="H64" s="39"/>
      <c r="I64" s="39"/>
      <c r="J64" s="39"/>
      <c r="K64" s="39"/>
      <c r="L64" s="39"/>
      <c r="M64" s="39"/>
    </row>
    <row r="65" spans="1:13">
      <c r="A65" s="39"/>
      <c r="B65" s="39"/>
      <c r="C65" s="39"/>
      <c r="D65" s="39"/>
      <c r="E65" s="39"/>
      <c r="F65" s="39"/>
      <c r="G65" s="39"/>
      <c r="H65" s="39"/>
      <c r="I65" s="39"/>
      <c r="J65" s="39"/>
      <c r="K65" s="39"/>
      <c r="L65" s="39"/>
      <c r="M65" s="39"/>
    </row>
    <row r="66" spans="1:13">
      <c r="A66" s="39"/>
      <c r="B66" s="39"/>
      <c r="C66" s="39"/>
      <c r="D66" s="39"/>
      <c r="E66" s="39"/>
      <c r="F66" s="39"/>
      <c r="G66" s="39"/>
      <c r="H66" s="39"/>
      <c r="I66" s="39"/>
      <c r="J66" s="39"/>
      <c r="K66" s="39"/>
      <c r="L66" s="39"/>
      <c r="M66" s="39"/>
    </row>
    <row r="67" spans="1:13">
      <c r="A67" s="39"/>
      <c r="B67" s="39"/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</row>
    <row r="68" spans="1:13">
      <c r="A68" s="39"/>
      <c r="B68" s="39"/>
      <c r="C68" s="39"/>
      <c r="D68" s="39"/>
      <c r="E68" s="39"/>
      <c r="F68" s="39"/>
      <c r="G68" s="39"/>
      <c r="H68" s="39"/>
      <c r="I68" s="39"/>
      <c r="J68" s="39"/>
      <c r="K68" s="39"/>
      <c r="L68" s="39"/>
      <c r="M68" s="39"/>
    </row>
    <row r="69" spans="1:13">
      <c r="A69" s="39"/>
      <c r="B69" s="39"/>
      <c r="C69" s="39"/>
      <c r="D69" s="39"/>
      <c r="E69" s="39"/>
      <c r="F69" s="39"/>
      <c r="G69" s="39"/>
      <c r="H69" s="39"/>
      <c r="I69" s="39"/>
      <c r="J69" s="39"/>
      <c r="K69" s="39"/>
      <c r="L69" s="39"/>
      <c r="M69" s="39"/>
    </row>
    <row r="70" spans="1:13">
      <c r="A70" s="39"/>
      <c r="B70" s="39"/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</row>
  </sheetData>
  <mergeCells count="27">
    <mergeCell ref="D38:F38"/>
    <mergeCell ref="G38:I38"/>
    <mergeCell ref="A32:J33"/>
    <mergeCell ref="D36:F36"/>
    <mergeCell ref="G36:I36"/>
    <mergeCell ref="D37:F37"/>
    <mergeCell ref="G37:I37"/>
    <mergeCell ref="B19:J19"/>
    <mergeCell ref="B20:J20"/>
    <mergeCell ref="B21:J21"/>
    <mergeCell ref="B22:J22"/>
    <mergeCell ref="A31:J31"/>
    <mergeCell ref="C13:J13"/>
    <mergeCell ref="C14:J14"/>
    <mergeCell ref="A16:J16"/>
    <mergeCell ref="B17:J17"/>
    <mergeCell ref="B18:J18"/>
    <mergeCell ref="C8:J8"/>
    <mergeCell ref="C9:J9"/>
    <mergeCell ref="C10:J10"/>
    <mergeCell ref="C11:J11"/>
    <mergeCell ref="C12:J12"/>
    <mergeCell ref="A1:J2"/>
    <mergeCell ref="A3:J3"/>
    <mergeCell ref="A5:J5"/>
    <mergeCell ref="C6:J6"/>
    <mergeCell ref="C7:J7"/>
  </mergeCells>
  <printOptions horizontalCentered="1"/>
  <pageMargins left="0.25" right="0.25" top="0.5" bottom="0.5" header="0.2" footer="0.2"/>
  <pageSetup paperSize="9" scale="62" fitToHeight="0" orientation="landscape" horizontalDpi="300" verticalDpi="300" r:id="rId1"/>
  <headerFooter>
    <oddFooter>&amp;LGuía Excel básico&amp;C&amp;P de &amp;N&amp;R&amp;D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autoPageBreaks="0" fitToPage="1"/>
  </sheetPr>
  <dimension ref="A1:O70"/>
  <sheetViews>
    <sheetView topLeftCell="B30" workbookViewId="0">
      <selection activeCell="H26" sqref="H26"/>
    </sheetView>
  </sheetViews>
  <sheetFormatPr baseColWidth="10" defaultColWidth="8.6640625" defaultRowHeight="14"/>
  <cols>
    <col min="1" max="1" width="18" customWidth="1"/>
    <col min="2" max="2" width="16" customWidth="1"/>
    <col min="3" max="5" width="18" customWidth="1"/>
    <col min="6" max="7" width="4" customWidth="1"/>
    <col min="8" max="11" width="18" customWidth="1"/>
    <col min="12" max="12" width="24" customWidth="1"/>
  </cols>
  <sheetData>
    <row r="1" spans="1:15" ht="16.649999999999999" customHeight="1">
      <c r="A1" s="46" t="s">
        <v>171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8"/>
      <c r="M1" s="39"/>
    </row>
    <row r="2" spans="1:15" ht="16.649999999999999" customHeight="1">
      <c r="A2" s="49"/>
      <c r="B2" s="50"/>
      <c r="C2" s="50"/>
      <c r="D2" s="50"/>
      <c r="E2" s="50"/>
      <c r="F2" s="50"/>
      <c r="G2" s="50"/>
      <c r="H2" s="50"/>
      <c r="I2" s="50"/>
      <c r="J2" s="50"/>
      <c r="K2" s="50"/>
      <c r="L2" s="51"/>
      <c r="M2" s="39"/>
    </row>
    <row r="3" spans="1:15" ht="20" customHeight="1">
      <c r="A3" s="52" t="s">
        <v>172</v>
      </c>
      <c r="B3" s="53"/>
      <c r="C3" s="53"/>
      <c r="D3" s="53"/>
      <c r="E3" s="53"/>
      <c r="F3" s="53"/>
      <c r="G3" s="53"/>
      <c r="H3" s="53"/>
      <c r="I3" s="53"/>
      <c r="J3" s="53"/>
      <c r="K3" s="53"/>
      <c r="L3" s="54"/>
      <c r="M3" s="39"/>
    </row>
    <row r="4" spans="1:15">
      <c r="A4" s="39"/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</row>
    <row r="5" spans="1:15" ht="16" customHeight="1">
      <c r="A5" s="80" t="s">
        <v>173</v>
      </c>
      <c r="B5" s="81"/>
      <c r="C5" s="81"/>
      <c r="D5" s="81"/>
      <c r="E5" s="81"/>
      <c r="F5" s="81"/>
      <c r="G5" s="81"/>
      <c r="H5" s="81"/>
      <c r="I5" s="100"/>
      <c r="J5" s="100"/>
      <c r="K5" s="100"/>
      <c r="L5" s="100"/>
      <c r="M5" s="39"/>
    </row>
    <row r="6" spans="1:15" ht="14.5">
      <c r="A6" s="1" t="s">
        <v>100</v>
      </c>
      <c r="B6" s="89" t="s">
        <v>101</v>
      </c>
      <c r="C6" s="90"/>
      <c r="D6" s="90"/>
      <c r="E6" s="90"/>
      <c r="F6" s="90"/>
      <c r="G6" s="90"/>
      <c r="H6" s="90"/>
      <c r="I6" s="101"/>
      <c r="J6" s="101"/>
      <c r="K6" s="101"/>
      <c r="L6" s="101"/>
      <c r="M6" s="39"/>
    </row>
    <row r="7" spans="1:15" ht="14" customHeight="1">
      <c r="A7" s="44" t="s">
        <v>174</v>
      </c>
      <c r="B7" s="92" t="s">
        <v>175</v>
      </c>
      <c r="C7" s="93"/>
      <c r="D7" s="93"/>
      <c r="E7" s="93"/>
      <c r="F7" s="93"/>
      <c r="G7" s="93"/>
      <c r="H7" s="93"/>
      <c r="I7" s="102"/>
      <c r="J7" s="102"/>
      <c r="K7" s="102"/>
      <c r="L7" s="102"/>
      <c r="M7" s="39"/>
    </row>
    <row r="8" spans="1:15" ht="14" customHeight="1">
      <c r="A8" s="44" t="s">
        <v>176</v>
      </c>
      <c r="B8" s="92" t="s">
        <v>177</v>
      </c>
      <c r="C8" s="93"/>
      <c r="D8" s="93"/>
      <c r="E8" s="93"/>
      <c r="F8" s="93"/>
      <c r="G8" s="93"/>
      <c r="H8" s="93"/>
      <c r="I8" s="102"/>
      <c r="J8" s="102"/>
      <c r="K8" s="102"/>
      <c r="L8" s="102"/>
      <c r="M8" s="39"/>
    </row>
    <row r="9" spans="1:15" ht="14" customHeight="1">
      <c r="A9" s="44" t="s">
        <v>178</v>
      </c>
      <c r="B9" s="92" t="s">
        <v>179</v>
      </c>
      <c r="C9" s="93"/>
      <c r="D9" s="93"/>
      <c r="E9" s="93"/>
      <c r="F9" s="93"/>
      <c r="G9" s="93"/>
      <c r="H9" s="93"/>
      <c r="I9" s="102"/>
      <c r="J9" s="102"/>
      <c r="K9" s="102"/>
      <c r="L9" s="102"/>
      <c r="M9" s="39"/>
    </row>
    <row r="10" spans="1:15" ht="14" customHeight="1">
      <c r="A10" s="44" t="s">
        <v>180</v>
      </c>
      <c r="B10" s="92" t="s">
        <v>181</v>
      </c>
      <c r="C10" s="93"/>
      <c r="D10" s="93"/>
      <c r="E10" s="93"/>
      <c r="F10" s="93"/>
      <c r="G10" s="93"/>
      <c r="H10" s="93"/>
      <c r="I10" s="102"/>
      <c r="J10" s="102"/>
      <c r="K10" s="102"/>
      <c r="L10" s="102"/>
      <c r="M10" s="39"/>
    </row>
    <row r="11" spans="1:15" ht="14" customHeight="1">
      <c r="A11" s="44" t="s">
        <v>182</v>
      </c>
      <c r="B11" s="92" t="s">
        <v>183</v>
      </c>
      <c r="C11" s="93"/>
      <c r="D11" s="93"/>
      <c r="E11" s="93"/>
      <c r="F11" s="93"/>
      <c r="G11" s="93"/>
      <c r="H11" s="93"/>
      <c r="I11" s="102"/>
      <c r="J11" s="102"/>
      <c r="K11" s="102"/>
      <c r="L11" s="102"/>
      <c r="M11" s="39"/>
    </row>
    <row r="12" spans="1:15">
      <c r="A12" s="71"/>
      <c r="B12" s="71"/>
      <c r="C12" s="71"/>
      <c r="D12" s="71"/>
      <c r="E12" s="71"/>
      <c r="F12" s="71"/>
      <c r="G12" s="71"/>
      <c r="H12" s="71"/>
      <c r="I12" s="76"/>
      <c r="J12" s="76"/>
      <c r="K12" s="76"/>
      <c r="L12" s="76"/>
      <c r="M12" s="39"/>
    </row>
    <row r="13" spans="1:15" ht="16" customHeight="1">
      <c r="A13" s="55" t="s">
        <v>184</v>
      </c>
      <c r="B13" s="56"/>
      <c r="C13" s="56"/>
      <c r="D13" s="56"/>
      <c r="E13" s="56"/>
      <c r="F13" s="56"/>
      <c r="G13" s="56"/>
      <c r="H13" s="56"/>
      <c r="I13" s="56"/>
      <c r="J13" s="56"/>
      <c r="K13" s="56"/>
      <c r="L13" s="57"/>
      <c r="M13" s="39"/>
    </row>
    <row r="14" spans="1:15" ht="29">
      <c r="A14" s="1" t="s">
        <v>185</v>
      </c>
      <c r="B14" s="1" t="s">
        <v>186</v>
      </c>
      <c r="C14" s="1" t="s">
        <v>187</v>
      </c>
      <c r="D14" s="1" t="s">
        <v>188</v>
      </c>
      <c r="E14" s="1" t="s">
        <v>189</v>
      </c>
      <c r="F14" s="72"/>
      <c r="G14" s="73"/>
      <c r="H14" s="1" t="s">
        <v>190</v>
      </c>
      <c r="I14" s="1" t="s">
        <v>186</v>
      </c>
      <c r="J14" s="1" t="s">
        <v>187</v>
      </c>
      <c r="K14" s="1" t="s">
        <v>191</v>
      </c>
      <c r="L14" s="1" t="s">
        <v>192</v>
      </c>
      <c r="M14" s="39"/>
    </row>
    <row r="15" spans="1:15" ht="26">
      <c r="A15" s="9" t="s">
        <v>193</v>
      </c>
      <c r="B15" s="9">
        <v>2</v>
      </c>
      <c r="C15" s="20">
        <v>18500</v>
      </c>
      <c r="D15" s="20">
        <f>B15*C15</f>
        <v>37000</v>
      </c>
      <c r="E15" s="9" t="s">
        <v>194</v>
      </c>
      <c r="F15" s="74"/>
      <c r="G15" s="75"/>
      <c r="H15" s="2" t="s">
        <v>193</v>
      </c>
      <c r="I15" s="2">
        <v>2</v>
      </c>
      <c r="J15" s="21">
        <v>18500</v>
      </c>
      <c r="K15" s="21">
        <v>37000</v>
      </c>
      <c r="L15" s="2" t="s">
        <v>195</v>
      </c>
      <c r="M15" s="78"/>
      <c r="N15" s="79"/>
      <c r="O15" s="79"/>
    </row>
    <row r="16" spans="1:15" ht="26">
      <c r="A16" s="9" t="s">
        <v>196</v>
      </c>
      <c r="B16" s="9">
        <v>4</v>
      </c>
      <c r="C16" s="20">
        <v>8200</v>
      </c>
      <c r="D16" s="20">
        <f>B16*C16</f>
        <v>32800</v>
      </c>
      <c r="E16" s="9" t="s">
        <v>197</v>
      </c>
      <c r="F16" s="74"/>
      <c r="G16" s="75"/>
      <c r="H16" s="2" t="s">
        <v>196</v>
      </c>
      <c r="I16" s="2">
        <v>4</v>
      </c>
      <c r="J16" s="21">
        <v>8200</v>
      </c>
      <c r="K16" s="21">
        <v>32800</v>
      </c>
      <c r="L16" s="2" t="s">
        <v>195</v>
      </c>
      <c r="M16" s="78"/>
      <c r="N16" s="79"/>
      <c r="O16" s="79"/>
    </row>
    <row r="17" spans="1:13" ht="26">
      <c r="A17" s="9" t="s">
        <v>198</v>
      </c>
      <c r="B17" s="9">
        <v>3</v>
      </c>
      <c r="C17" s="20">
        <v>23500</v>
      </c>
      <c r="D17" s="20">
        <f>B17*C17</f>
        <v>70500</v>
      </c>
      <c r="E17" s="9" t="s">
        <v>199</v>
      </c>
      <c r="F17" s="74"/>
      <c r="G17" s="75"/>
      <c r="H17" s="2" t="s">
        <v>198</v>
      </c>
      <c r="I17" s="2">
        <v>3</v>
      </c>
      <c r="J17" s="21">
        <v>23500</v>
      </c>
      <c r="K17" s="21">
        <v>70500</v>
      </c>
      <c r="L17" s="2" t="s">
        <v>195</v>
      </c>
      <c r="M17" s="39"/>
    </row>
    <row r="18" spans="1:13" ht="26">
      <c r="A18" s="9" t="s">
        <v>200</v>
      </c>
      <c r="B18" s="9">
        <v>1</v>
      </c>
      <c r="C18" s="20">
        <v>41000</v>
      </c>
      <c r="D18" s="20">
        <f>B18*C18</f>
        <v>41000</v>
      </c>
      <c r="E18" s="9" t="s">
        <v>201</v>
      </c>
      <c r="F18" s="74"/>
      <c r="G18" s="75"/>
      <c r="H18" s="2" t="s">
        <v>200</v>
      </c>
      <c r="I18" s="2">
        <v>1</v>
      </c>
      <c r="J18" s="21">
        <v>41000</v>
      </c>
      <c r="K18" s="21">
        <v>41000</v>
      </c>
      <c r="L18" s="2" t="s">
        <v>195</v>
      </c>
      <c r="M18" s="39"/>
    </row>
    <row r="19" spans="1:13">
      <c r="A19" s="76"/>
      <c r="B19" s="76"/>
      <c r="C19" s="76"/>
      <c r="D19" s="76"/>
      <c r="E19" s="76"/>
      <c r="F19" s="76"/>
      <c r="G19" s="76"/>
      <c r="H19" s="76"/>
      <c r="I19" s="76"/>
      <c r="J19" s="76"/>
      <c r="K19" s="76"/>
      <c r="L19" s="76"/>
      <c r="M19" s="39"/>
    </row>
    <row r="20" spans="1:13" ht="17" customHeight="1">
      <c r="A20" s="80" t="s">
        <v>202</v>
      </c>
      <c r="B20" s="81"/>
      <c r="C20" s="81"/>
      <c r="D20" s="81"/>
      <c r="E20" s="81"/>
      <c r="F20" s="97"/>
      <c r="G20" s="97"/>
      <c r="H20" s="97"/>
      <c r="I20" s="97"/>
      <c r="J20" s="97"/>
      <c r="K20" s="97"/>
      <c r="L20" s="98"/>
      <c r="M20" s="39"/>
    </row>
    <row r="21" spans="1:13" ht="25" customHeight="1">
      <c r="A21" s="1" t="s">
        <v>203</v>
      </c>
      <c r="B21" s="1" t="s">
        <v>204</v>
      </c>
      <c r="C21" s="89" t="s">
        <v>205</v>
      </c>
      <c r="D21" s="90"/>
      <c r="E21" s="90"/>
      <c r="F21" s="101"/>
      <c r="G21" s="101"/>
      <c r="H21" s="101"/>
      <c r="I21" s="101"/>
      <c r="J21" s="101"/>
      <c r="K21" s="101"/>
      <c r="L21" s="101"/>
      <c r="M21" s="39"/>
    </row>
    <row r="22" spans="1:13" ht="25" customHeight="1">
      <c r="A22" s="44" t="s">
        <v>206</v>
      </c>
      <c r="B22" s="107" t="s">
        <v>207</v>
      </c>
      <c r="C22" s="105" t="s">
        <v>208</v>
      </c>
      <c r="D22" s="106"/>
      <c r="E22" s="106"/>
      <c r="F22" s="102"/>
      <c r="G22" s="102"/>
      <c r="H22" s="102"/>
      <c r="I22" s="102"/>
      <c r="J22" s="102"/>
      <c r="K22" s="102"/>
      <c r="L22" s="102"/>
      <c r="M22" s="39"/>
    </row>
    <row r="23" spans="1:13" ht="25" customHeight="1">
      <c r="A23" s="44" t="s">
        <v>209</v>
      </c>
      <c r="B23" s="7" t="s">
        <v>210</v>
      </c>
      <c r="C23" s="103" t="s">
        <v>211</v>
      </c>
      <c r="D23" s="104"/>
      <c r="E23" s="104"/>
      <c r="F23" s="102"/>
      <c r="G23" s="102"/>
      <c r="H23" s="102"/>
      <c r="I23" s="102"/>
      <c r="J23" s="102"/>
      <c r="K23" s="102"/>
      <c r="L23" s="102"/>
      <c r="M23" s="39"/>
    </row>
    <row r="24" spans="1:13" ht="25" customHeight="1">
      <c r="A24" s="44" t="s">
        <v>212</v>
      </c>
      <c r="B24" s="7" t="s">
        <v>213</v>
      </c>
      <c r="C24" s="103" t="s">
        <v>214</v>
      </c>
      <c r="D24" s="104"/>
      <c r="E24" s="104"/>
      <c r="F24" s="102"/>
      <c r="G24" s="102"/>
      <c r="H24" s="102"/>
      <c r="I24" s="102"/>
      <c r="J24" s="102"/>
      <c r="K24" s="102"/>
      <c r="L24" s="102"/>
      <c r="M24" s="39"/>
    </row>
    <row r="25" spans="1:13" ht="25" customHeight="1">
      <c r="A25" s="44" t="s">
        <v>215</v>
      </c>
      <c r="B25" s="7" t="s">
        <v>216</v>
      </c>
      <c r="C25" s="103" t="s">
        <v>217</v>
      </c>
      <c r="D25" s="104"/>
      <c r="E25" s="104"/>
      <c r="F25" s="102"/>
      <c r="G25" s="102"/>
      <c r="H25" s="102"/>
      <c r="I25" s="102"/>
      <c r="J25" s="102"/>
      <c r="K25" s="102"/>
      <c r="L25" s="102"/>
      <c r="M25" s="39"/>
    </row>
    <row r="26" spans="1:13" ht="25" customHeight="1">
      <c r="A26" s="44" t="s">
        <v>218</v>
      </c>
      <c r="B26" s="7" t="s">
        <v>219</v>
      </c>
      <c r="C26" s="103" t="s">
        <v>220</v>
      </c>
      <c r="D26" s="104"/>
      <c r="E26" s="104"/>
      <c r="F26" s="102"/>
      <c r="G26" s="102"/>
      <c r="H26" s="102"/>
      <c r="I26" s="102"/>
      <c r="J26" s="102"/>
      <c r="K26" s="102"/>
      <c r="L26" s="102"/>
      <c r="M26" s="39"/>
    </row>
    <row r="27" spans="1:13" ht="22" customHeight="1">
      <c r="A27" s="39"/>
      <c r="B27" s="39"/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</row>
    <row r="28" spans="1:13" ht="16" customHeight="1">
      <c r="A28" s="80" t="s">
        <v>221</v>
      </c>
      <c r="B28" s="81"/>
      <c r="C28" s="81"/>
      <c r="D28" s="81"/>
      <c r="E28" s="81"/>
      <c r="F28" s="84"/>
      <c r="G28" s="84"/>
      <c r="H28" s="84"/>
      <c r="I28" s="84"/>
      <c r="J28" s="84"/>
      <c r="K28" s="84"/>
      <c r="L28" s="84"/>
      <c r="M28" s="39"/>
    </row>
    <row r="29" spans="1:13" ht="14.5">
      <c r="A29" s="1" t="s">
        <v>185</v>
      </c>
      <c r="B29" s="1" t="s">
        <v>222</v>
      </c>
      <c r="C29" s="1" t="s">
        <v>223</v>
      </c>
      <c r="D29" s="1" t="s">
        <v>224</v>
      </c>
      <c r="E29" s="1" t="s">
        <v>225</v>
      </c>
      <c r="F29" s="39"/>
      <c r="G29" s="39"/>
      <c r="H29" s="39"/>
      <c r="I29" s="39"/>
      <c r="J29" s="39"/>
      <c r="K29" s="39"/>
      <c r="L29" s="39"/>
      <c r="M29" s="39"/>
    </row>
    <row r="30" spans="1:13" ht="39">
      <c r="A30" s="2" t="s">
        <v>226</v>
      </c>
      <c r="B30" s="21">
        <v>4500</v>
      </c>
      <c r="C30" s="23">
        <v>1.1000000000000001</v>
      </c>
      <c r="D30" s="22">
        <v>4500</v>
      </c>
      <c r="E30" s="7" t="s">
        <v>227</v>
      </c>
      <c r="F30" s="82"/>
      <c r="G30" s="83"/>
      <c r="H30" s="83"/>
      <c r="I30" s="83"/>
      <c r="J30" s="83"/>
      <c r="K30" s="83"/>
      <c r="L30" s="83"/>
      <c r="M30" s="39"/>
    </row>
    <row r="31" spans="1:13">
      <c r="A31" s="2" t="s">
        <v>228</v>
      </c>
      <c r="B31" s="21">
        <v>1200</v>
      </c>
      <c r="C31" s="21"/>
      <c r="D31" s="22">
        <v>1200</v>
      </c>
      <c r="E31" s="7"/>
      <c r="F31" s="39"/>
      <c r="G31" s="39"/>
      <c r="H31" s="39"/>
      <c r="I31" s="39"/>
      <c r="J31" s="42"/>
      <c r="K31" s="39"/>
      <c r="L31" s="39"/>
      <c r="M31" s="39"/>
    </row>
    <row r="32" spans="1:13">
      <c r="A32" s="2" t="s">
        <v>229</v>
      </c>
      <c r="B32" s="21">
        <v>28500</v>
      </c>
      <c r="C32" s="21"/>
      <c r="D32" s="22">
        <v>28500</v>
      </c>
      <c r="E32" s="7"/>
      <c r="F32" s="39"/>
      <c r="G32" s="39"/>
      <c r="H32" s="39"/>
      <c r="I32" s="39"/>
      <c r="J32" s="39"/>
      <c r="K32" s="39"/>
      <c r="L32" s="39"/>
      <c r="M32" s="39"/>
    </row>
    <row r="33" spans="1:13">
      <c r="A33" s="2" t="s">
        <v>230</v>
      </c>
      <c r="B33" s="21">
        <v>950</v>
      </c>
      <c r="C33" s="21"/>
      <c r="D33" s="22">
        <v>950</v>
      </c>
      <c r="E33" s="7"/>
      <c r="F33" s="39"/>
      <c r="G33" s="39"/>
      <c r="H33" s="39"/>
      <c r="I33" s="39"/>
      <c r="J33" s="39"/>
      <c r="K33" s="39"/>
      <c r="L33" s="39"/>
      <c r="M33" s="39"/>
    </row>
    <row r="34" spans="1:13">
      <c r="A34" s="2" t="s">
        <v>231</v>
      </c>
      <c r="B34" s="21">
        <v>17800</v>
      </c>
      <c r="C34" s="21"/>
      <c r="D34" s="22">
        <v>17800</v>
      </c>
      <c r="E34" s="7"/>
      <c r="F34" s="39"/>
      <c r="G34" s="39"/>
      <c r="H34" s="39"/>
      <c r="I34" s="39"/>
      <c r="J34" s="39"/>
      <c r="K34" s="39"/>
      <c r="L34" s="39"/>
      <c r="M34" s="39"/>
    </row>
    <row r="35" spans="1:13">
      <c r="A35" s="39"/>
      <c r="B35" s="39"/>
      <c r="C35" s="39"/>
      <c r="D35" s="39"/>
      <c r="E35" s="39"/>
      <c r="F35" s="39"/>
      <c r="G35" s="39"/>
      <c r="H35" s="39"/>
      <c r="I35" s="39"/>
      <c r="J35" s="39"/>
      <c r="K35" s="39"/>
      <c r="L35" s="39"/>
      <c r="M35" s="39"/>
    </row>
    <row r="36" spans="1:13" ht="16" customHeight="1">
      <c r="A36" s="85" t="s">
        <v>232</v>
      </c>
      <c r="B36" s="86"/>
      <c r="C36" s="86"/>
      <c r="D36" s="86"/>
      <c r="E36" s="86"/>
      <c r="F36" s="86"/>
      <c r="G36" s="86"/>
      <c r="H36" s="86"/>
      <c r="I36" s="86"/>
      <c r="J36" s="86"/>
      <c r="K36" s="86"/>
      <c r="L36" s="87"/>
      <c r="M36" s="39"/>
    </row>
    <row r="37" spans="1:13" ht="29">
      <c r="A37" s="2" t="s">
        <v>233</v>
      </c>
      <c r="B37" s="2" t="s">
        <v>234</v>
      </c>
      <c r="C37" s="2" t="s">
        <v>235</v>
      </c>
      <c r="D37" s="2" t="s">
        <v>19</v>
      </c>
      <c r="E37" s="2" t="s">
        <v>132</v>
      </c>
      <c r="F37" s="39"/>
      <c r="G37" s="39"/>
      <c r="H37" s="1" t="s">
        <v>236</v>
      </c>
      <c r="I37" s="1" t="s">
        <v>234</v>
      </c>
      <c r="J37" s="1" t="s">
        <v>235</v>
      </c>
      <c r="K37" s="1" t="s">
        <v>19</v>
      </c>
      <c r="L37" s="1" t="s">
        <v>132</v>
      </c>
      <c r="M37" s="39"/>
    </row>
    <row r="38" spans="1:13">
      <c r="A38" s="2" t="s">
        <v>237</v>
      </c>
      <c r="B38" s="24">
        <v>125000</v>
      </c>
      <c r="C38" s="25">
        <v>0.18</v>
      </c>
      <c r="D38" s="2" t="s">
        <v>238</v>
      </c>
      <c r="E38" s="2">
        <v>46204</v>
      </c>
      <c r="F38" s="39"/>
      <c r="G38" s="39"/>
      <c r="H38" s="2" t="s">
        <v>237</v>
      </c>
      <c r="I38" s="26">
        <v>125000</v>
      </c>
      <c r="J38" s="27">
        <v>0.18</v>
      </c>
      <c r="K38" s="8" t="s">
        <v>238</v>
      </c>
      <c r="L38" s="28">
        <v>46204</v>
      </c>
      <c r="M38" s="39"/>
    </row>
    <row r="39" spans="1:13">
      <c r="A39" s="2" t="s">
        <v>239</v>
      </c>
      <c r="B39" s="24">
        <v>89500</v>
      </c>
      <c r="C39" s="25">
        <v>0.12</v>
      </c>
      <c r="D39" s="2" t="s">
        <v>23</v>
      </c>
      <c r="E39" s="2">
        <v>46206</v>
      </c>
      <c r="F39" s="39"/>
      <c r="G39" s="39"/>
      <c r="H39" s="2" t="s">
        <v>239</v>
      </c>
      <c r="I39" s="26">
        <v>89500</v>
      </c>
      <c r="J39" s="27">
        <v>0.12</v>
      </c>
      <c r="K39" s="8" t="s">
        <v>23</v>
      </c>
      <c r="L39" s="28">
        <v>46206</v>
      </c>
      <c r="M39" s="39"/>
    </row>
    <row r="40" spans="1:13">
      <c r="A40" s="2" t="s">
        <v>240</v>
      </c>
      <c r="B40" s="24">
        <v>210000</v>
      </c>
      <c r="C40" s="25">
        <v>0.25</v>
      </c>
      <c r="D40" s="2" t="s">
        <v>238</v>
      </c>
      <c r="E40" s="2">
        <v>46210</v>
      </c>
      <c r="F40" s="39"/>
      <c r="G40" s="39"/>
      <c r="H40" s="2" t="s">
        <v>240</v>
      </c>
      <c r="I40" s="26">
        <v>210000</v>
      </c>
      <c r="J40" s="27">
        <v>0.25</v>
      </c>
      <c r="K40" s="8" t="s">
        <v>238</v>
      </c>
      <c r="L40" s="28">
        <v>46210</v>
      </c>
      <c r="M40" s="39"/>
    </row>
    <row r="41" spans="1:13">
      <c r="A41" s="2" t="s">
        <v>241</v>
      </c>
      <c r="B41" s="24">
        <v>45500</v>
      </c>
      <c r="C41" s="25">
        <v>0.08</v>
      </c>
      <c r="D41" s="2" t="s">
        <v>242</v>
      </c>
      <c r="E41" s="2">
        <v>46212</v>
      </c>
      <c r="F41" s="39"/>
      <c r="G41" s="39"/>
      <c r="H41" s="2" t="s">
        <v>241</v>
      </c>
      <c r="I41" s="26">
        <v>45500</v>
      </c>
      <c r="J41" s="27">
        <v>0.08</v>
      </c>
      <c r="K41" s="8" t="s">
        <v>242</v>
      </c>
      <c r="L41" s="28">
        <v>46212</v>
      </c>
      <c r="M41" s="39"/>
    </row>
    <row r="42" spans="1:13">
      <c r="A42" s="2" t="s">
        <v>243</v>
      </c>
      <c r="B42" s="24">
        <v>173000</v>
      </c>
      <c r="C42" s="25">
        <v>0.2</v>
      </c>
      <c r="D42" s="2" t="s">
        <v>238</v>
      </c>
      <c r="E42" s="2">
        <v>46213</v>
      </c>
      <c r="F42" s="39"/>
      <c r="G42" s="39"/>
      <c r="H42" s="2" t="s">
        <v>243</v>
      </c>
      <c r="I42" s="26">
        <v>173000</v>
      </c>
      <c r="J42" s="27">
        <v>0.2</v>
      </c>
      <c r="K42" s="8" t="s">
        <v>238</v>
      </c>
      <c r="L42" s="28">
        <v>46213</v>
      </c>
      <c r="M42" s="39"/>
    </row>
    <row r="43" spans="1:13">
      <c r="A43" s="39"/>
      <c r="B43" s="39"/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39"/>
    </row>
    <row r="44" spans="1:13">
      <c r="A44" s="63" t="s">
        <v>244</v>
      </c>
      <c r="B44" s="63"/>
      <c r="C44" s="63"/>
      <c r="D44" s="63"/>
      <c r="E44" s="63"/>
      <c r="F44" s="63"/>
      <c r="G44" s="63"/>
      <c r="H44" s="63"/>
      <c r="I44" s="63"/>
      <c r="J44" s="63"/>
      <c r="K44" s="63"/>
      <c r="L44" s="63"/>
      <c r="M44" s="39"/>
    </row>
    <row r="45" spans="1:13">
      <c r="A45" s="63"/>
      <c r="B45" s="63"/>
      <c r="C45" s="63"/>
      <c r="D45" s="63"/>
      <c r="E45" s="63"/>
      <c r="F45" s="63"/>
      <c r="G45" s="63"/>
      <c r="H45" s="63"/>
      <c r="I45" s="63"/>
      <c r="J45" s="63"/>
      <c r="K45" s="63"/>
      <c r="L45" s="63"/>
      <c r="M45" s="39"/>
    </row>
    <row r="46" spans="1:13">
      <c r="A46" s="63"/>
      <c r="B46" s="63"/>
      <c r="C46" s="63"/>
      <c r="D46" s="63"/>
      <c r="E46" s="63"/>
      <c r="F46" s="63"/>
      <c r="G46" s="63"/>
      <c r="H46" s="63"/>
      <c r="I46" s="63"/>
      <c r="J46" s="63"/>
      <c r="K46" s="63"/>
      <c r="L46" s="63"/>
      <c r="M46" s="39"/>
    </row>
    <row r="47" spans="1:13">
      <c r="A47" s="39"/>
      <c r="B47" s="39"/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</row>
    <row r="48" spans="1:13">
      <c r="A48" s="39"/>
      <c r="B48" s="39"/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</row>
    <row r="49" spans="1:13">
      <c r="A49" s="39"/>
      <c r="B49" s="39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</row>
    <row r="50" spans="1:13">
      <c r="A50" s="39"/>
      <c r="B50" s="39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</row>
    <row r="51" spans="1:13">
      <c r="A51" s="39"/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39"/>
      <c r="M51" s="39"/>
    </row>
    <row r="52" spans="1:13">
      <c r="A52" s="39"/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39"/>
    </row>
    <row r="53" spans="1:13">
      <c r="A53" s="39"/>
      <c r="B53" s="39"/>
      <c r="C53" s="39"/>
      <c r="D53" s="39"/>
      <c r="E53" s="39"/>
      <c r="F53" s="39"/>
      <c r="G53" s="39"/>
      <c r="H53" s="39"/>
      <c r="I53" s="39"/>
      <c r="J53" s="39"/>
      <c r="K53" s="39"/>
      <c r="L53" s="39"/>
      <c r="M53" s="39"/>
    </row>
    <row r="54" spans="1:13">
      <c r="A54" s="39"/>
      <c r="B54" s="39"/>
      <c r="C54" s="39"/>
      <c r="D54" s="39"/>
      <c r="E54" s="39"/>
      <c r="F54" s="39"/>
      <c r="G54" s="39"/>
      <c r="H54" s="39"/>
      <c r="I54" s="39"/>
      <c r="J54" s="39"/>
      <c r="K54" s="39"/>
      <c r="L54" s="39"/>
      <c r="M54" s="39"/>
    </row>
    <row r="55" spans="1:13">
      <c r="A55" s="39"/>
      <c r="B55" s="39"/>
      <c r="C55" s="39"/>
      <c r="D55" s="39"/>
      <c r="E55" s="39"/>
      <c r="F55" s="39"/>
      <c r="G55" s="39"/>
      <c r="H55" s="39"/>
      <c r="I55" s="39"/>
      <c r="J55" s="39"/>
      <c r="K55" s="39"/>
      <c r="L55" s="39"/>
      <c r="M55" s="39"/>
    </row>
    <row r="56" spans="1:13">
      <c r="A56" s="39"/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</row>
    <row r="57" spans="1:13">
      <c r="A57" s="39"/>
      <c r="B57" s="39"/>
      <c r="C57" s="39"/>
      <c r="D57" s="39"/>
      <c r="E57" s="39"/>
      <c r="F57" s="39"/>
      <c r="G57" s="39"/>
      <c r="H57" s="39"/>
      <c r="I57" s="39"/>
      <c r="J57" s="39"/>
      <c r="K57" s="39"/>
      <c r="L57" s="39"/>
      <c r="M57" s="39"/>
    </row>
    <row r="58" spans="1:13">
      <c r="A58" s="39"/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39"/>
    </row>
    <row r="59" spans="1:13">
      <c r="A59" s="39"/>
      <c r="B59" s="39"/>
      <c r="C59" s="39"/>
      <c r="D59" s="39"/>
      <c r="E59" s="39"/>
      <c r="F59" s="39"/>
      <c r="G59" s="39"/>
      <c r="H59" s="39"/>
      <c r="I59" s="39"/>
      <c r="J59" s="39"/>
      <c r="K59" s="39"/>
      <c r="L59" s="39"/>
      <c r="M59" s="39"/>
    </row>
    <row r="60" spans="1:13">
      <c r="A60" s="39"/>
      <c r="B60" s="39"/>
      <c r="C60" s="39"/>
      <c r="D60" s="39"/>
      <c r="E60" s="39"/>
      <c r="F60" s="39"/>
      <c r="G60" s="39"/>
      <c r="H60" s="39"/>
      <c r="I60" s="39"/>
      <c r="J60" s="39"/>
      <c r="K60" s="39"/>
      <c r="L60" s="39"/>
      <c r="M60" s="39"/>
    </row>
    <row r="61" spans="1:13">
      <c r="A61" s="39"/>
      <c r="B61" s="39"/>
      <c r="C61" s="39"/>
      <c r="D61" s="39"/>
      <c r="E61" s="39"/>
      <c r="F61" s="39"/>
      <c r="G61" s="39"/>
      <c r="H61" s="39"/>
      <c r="I61" s="39"/>
      <c r="J61" s="39"/>
      <c r="K61" s="39"/>
      <c r="L61" s="39"/>
      <c r="M61" s="39"/>
    </row>
    <row r="62" spans="1:13">
      <c r="A62" s="39"/>
      <c r="B62" s="39"/>
      <c r="C62" s="39"/>
      <c r="D62" s="39"/>
      <c r="E62" s="39"/>
      <c r="F62" s="39"/>
      <c r="G62" s="39"/>
      <c r="H62" s="39"/>
      <c r="I62" s="39"/>
      <c r="J62" s="39"/>
      <c r="K62" s="39"/>
      <c r="L62" s="39"/>
      <c r="M62" s="39"/>
    </row>
    <row r="63" spans="1:13">
      <c r="A63" s="39"/>
      <c r="B63" s="39"/>
      <c r="C63" s="39"/>
      <c r="D63" s="39"/>
      <c r="E63" s="39"/>
      <c r="F63" s="39"/>
      <c r="G63" s="39"/>
      <c r="H63" s="39"/>
      <c r="I63" s="39"/>
      <c r="J63" s="39"/>
      <c r="K63" s="39"/>
      <c r="L63" s="39"/>
      <c r="M63" s="39"/>
    </row>
    <row r="64" spans="1:13">
      <c r="A64" s="39"/>
      <c r="B64" s="39"/>
      <c r="C64" s="39"/>
      <c r="D64" s="39"/>
      <c r="E64" s="39"/>
      <c r="F64" s="39"/>
      <c r="G64" s="39"/>
      <c r="H64" s="39"/>
      <c r="I64" s="39"/>
      <c r="J64" s="39"/>
      <c r="K64" s="39"/>
      <c r="L64" s="39"/>
      <c r="M64" s="39"/>
    </row>
    <row r="65" spans="1:13">
      <c r="A65" s="39"/>
      <c r="B65" s="39"/>
      <c r="C65" s="39"/>
      <c r="D65" s="39"/>
      <c r="E65" s="39"/>
      <c r="F65" s="39"/>
      <c r="G65" s="39"/>
      <c r="H65" s="39"/>
      <c r="I65" s="39"/>
      <c r="J65" s="39"/>
      <c r="K65" s="39"/>
      <c r="L65" s="39"/>
      <c r="M65" s="39"/>
    </row>
    <row r="66" spans="1:13">
      <c r="A66" s="39"/>
      <c r="B66" s="39"/>
      <c r="C66" s="39"/>
      <c r="D66" s="39"/>
      <c r="E66" s="39"/>
      <c r="F66" s="39"/>
      <c r="G66" s="39"/>
      <c r="H66" s="39"/>
      <c r="I66" s="39"/>
      <c r="J66" s="39"/>
      <c r="K66" s="39"/>
      <c r="L66" s="39"/>
      <c r="M66" s="39"/>
    </row>
    <row r="67" spans="1:13">
      <c r="A67" s="39"/>
      <c r="B67" s="39"/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</row>
    <row r="68" spans="1:13">
      <c r="A68" s="39"/>
      <c r="B68" s="39"/>
      <c r="C68" s="39"/>
      <c r="D68" s="39"/>
      <c r="E68" s="39"/>
      <c r="F68" s="39"/>
      <c r="G68" s="39"/>
      <c r="H68" s="39"/>
      <c r="I68" s="39"/>
      <c r="J68" s="39"/>
      <c r="K68" s="39"/>
      <c r="L68" s="39"/>
      <c r="M68" s="39"/>
    </row>
    <row r="69" spans="1:13">
      <c r="A69" s="39"/>
      <c r="B69" s="39"/>
      <c r="C69" s="39"/>
      <c r="D69" s="39"/>
      <c r="E69" s="39"/>
      <c r="F69" s="39"/>
      <c r="G69" s="39"/>
      <c r="H69" s="39"/>
      <c r="I69" s="39"/>
      <c r="J69" s="39"/>
      <c r="K69" s="39"/>
      <c r="L69" s="39"/>
      <c r="M69" s="39"/>
    </row>
    <row r="70" spans="1:13">
      <c r="A70" s="39"/>
      <c r="B70" s="39"/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</row>
  </sheetData>
  <mergeCells count="23">
    <mergeCell ref="F14:G18"/>
    <mergeCell ref="A19:L19"/>
    <mergeCell ref="A28:E28"/>
    <mergeCell ref="A20:E20"/>
    <mergeCell ref="C21:E21"/>
    <mergeCell ref="C22:E22"/>
    <mergeCell ref="C23:E23"/>
    <mergeCell ref="C24:E24"/>
    <mergeCell ref="C25:E25"/>
    <mergeCell ref="C26:E26"/>
    <mergeCell ref="A36:L36"/>
    <mergeCell ref="A44:L46"/>
    <mergeCell ref="A13:L13"/>
    <mergeCell ref="A12:L12"/>
    <mergeCell ref="B8:H8"/>
    <mergeCell ref="B9:H9"/>
    <mergeCell ref="B10:H10"/>
    <mergeCell ref="B11:H11"/>
    <mergeCell ref="A1:L2"/>
    <mergeCell ref="A3:L3"/>
    <mergeCell ref="B6:H6"/>
    <mergeCell ref="A5:H5"/>
    <mergeCell ref="B7:H7"/>
  </mergeCells>
  <conditionalFormatting sqref="K38:K42">
    <cfRule type="expression" dxfId="6" priority="1">
      <formula>K38="Pagada"</formula>
    </cfRule>
    <cfRule type="expression" dxfId="5" priority="2">
      <formula>K38="Pendiente"</formula>
    </cfRule>
    <cfRule type="expression" dxfId="4" priority="3">
      <formula>K38="Cancelada"</formula>
    </cfRule>
  </conditionalFormatting>
  <printOptions horizontalCentered="1"/>
  <pageMargins left="0.25" right="0.25" top="0.5" bottom="0.5" header="0.2" footer="0.2"/>
  <pageSetup paperSize="9" scale="58" fitToHeight="0" orientation="landscape" horizontalDpi="300" verticalDpi="300" r:id="rId1"/>
  <headerFooter>
    <oddFooter>&amp;LGuía Excel básico&amp;C&amp;P de &amp;N&amp;R&amp;D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autoPageBreaks="0" fitToPage="1"/>
  </sheetPr>
  <dimension ref="A1:M70"/>
  <sheetViews>
    <sheetView topLeftCell="C1" workbookViewId="0">
      <selection activeCell="H27" sqref="H27"/>
    </sheetView>
  </sheetViews>
  <sheetFormatPr baseColWidth="10" defaultColWidth="8.6640625" defaultRowHeight="14"/>
  <cols>
    <col min="1" max="1" width="10" customWidth="1"/>
    <col min="2" max="2" width="14" customWidth="1"/>
    <col min="3" max="5" width="18" customWidth="1"/>
    <col min="6" max="6" width="12" customWidth="1"/>
    <col min="7" max="7" width="16" customWidth="1"/>
    <col min="8" max="8" width="17" customWidth="1"/>
    <col min="9" max="9" width="16" customWidth="1"/>
  </cols>
  <sheetData>
    <row r="1" spans="1:13" ht="16.649999999999999" customHeight="1">
      <c r="A1" s="46" t="s">
        <v>245</v>
      </c>
      <c r="B1" s="47"/>
      <c r="C1" s="47"/>
      <c r="D1" s="47"/>
      <c r="E1" s="47"/>
      <c r="F1" s="47"/>
      <c r="G1" s="47"/>
      <c r="H1" s="47"/>
      <c r="I1" s="48"/>
      <c r="J1" s="39"/>
      <c r="K1" s="39"/>
      <c r="L1" s="39"/>
      <c r="M1" s="39"/>
    </row>
    <row r="2" spans="1:13" ht="16.649999999999999" customHeight="1">
      <c r="A2" s="49"/>
      <c r="B2" s="50"/>
      <c r="C2" s="50"/>
      <c r="D2" s="50"/>
      <c r="E2" s="50"/>
      <c r="F2" s="50"/>
      <c r="G2" s="50"/>
      <c r="H2" s="50"/>
      <c r="I2" s="51"/>
      <c r="J2" s="39"/>
      <c r="K2" s="39"/>
      <c r="L2" s="39"/>
      <c r="M2" s="39"/>
    </row>
    <row r="3" spans="1:13" ht="20" customHeight="1">
      <c r="A3" s="52" t="s">
        <v>246</v>
      </c>
      <c r="B3" s="53"/>
      <c r="C3" s="53"/>
      <c r="D3" s="53"/>
      <c r="E3" s="53"/>
      <c r="F3" s="53"/>
      <c r="G3" s="53"/>
      <c r="H3" s="53"/>
      <c r="I3" s="54"/>
      <c r="J3" s="39"/>
      <c r="K3" s="39"/>
      <c r="L3" s="39"/>
      <c r="M3" s="39"/>
    </row>
    <row r="4" spans="1:13">
      <c r="A4" s="39"/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</row>
    <row r="5" spans="1:13" ht="28" customHeight="1">
      <c r="A5" s="58" t="s">
        <v>247</v>
      </c>
      <c r="B5" s="58"/>
      <c r="C5" s="58"/>
      <c r="D5" s="58"/>
      <c r="E5" s="58"/>
      <c r="F5" s="58"/>
      <c r="G5" s="58"/>
      <c r="H5" s="58"/>
      <c r="I5" s="58"/>
      <c r="J5" s="39"/>
      <c r="K5" s="39"/>
      <c r="L5" s="39"/>
      <c r="M5" s="39"/>
    </row>
    <row r="6" spans="1:13">
      <c r="A6" s="39"/>
      <c r="B6" s="39"/>
      <c r="C6" s="39"/>
      <c r="D6" s="39"/>
      <c r="E6" s="39"/>
      <c r="F6" s="39"/>
      <c r="G6" s="39"/>
      <c r="H6" s="39"/>
      <c r="I6" s="39"/>
      <c r="J6" s="39"/>
      <c r="K6" s="39"/>
      <c r="L6" s="39"/>
      <c r="M6" s="39"/>
    </row>
    <row r="7" spans="1:13" ht="14.5">
      <c r="A7" s="1" t="s">
        <v>248</v>
      </c>
      <c r="B7" s="1" t="s">
        <v>132</v>
      </c>
      <c r="C7" s="1" t="s">
        <v>249</v>
      </c>
      <c r="D7" s="1" t="s">
        <v>250</v>
      </c>
      <c r="E7" s="1" t="s">
        <v>251</v>
      </c>
      <c r="F7" s="1" t="s">
        <v>252</v>
      </c>
      <c r="G7" s="1" t="s">
        <v>253</v>
      </c>
      <c r="H7" s="1" t="s">
        <v>188</v>
      </c>
      <c r="I7" s="1" t="s">
        <v>19</v>
      </c>
      <c r="J7" s="39"/>
      <c r="K7" s="39"/>
      <c r="L7" s="39"/>
      <c r="M7" s="39"/>
    </row>
    <row r="8" spans="1:13" ht="13.4" customHeight="1">
      <c r="A8" s="8">
        <v>1001</v>
      </c>
      <c r="B8" s="19">
        <v>46174</v>
      </c>
      <c r="C8" s="2" t="s">
        <v>163</v>
      </c>
      <c r="D8" s="2" t="s">
        <v>254</v>
      </c>
      <c r="E8" s="2" t="s">
        <v>255</v>
      </c>
      <c r="F8" s="8">
        <v>1</v>
      </c>
      <c r="G8" s="21">
        <v>3500</v>
      </c>
      <c r="H8" s="21">
        <f t="shared" ref="H8:H37" si="0">F8*G8</f>
        <v>3500</v>
      </c>
      <c r="I8" s="8" t="s">
        <v>256</v>
      </c>
      <c r="J8" s="39"/>
      <c r="K8" s="39"/>
      <c r="L8" s="39"/>
      <c r="M8" s="39"/>
    </row>
    <row r="9" spans="1:13" ht="13.4" customHeight="1">
      <c r="A9" s="8">
        <v>1002</v>
      </c>
      <c r="B9" s="19">
        <v>46175</v>
      </c>
      <c r="C9" s="2" t="s">
        <v>257</v>
      </c>
      <c r="D9" s="2" t="s">
        <v>258</v>
      </c>
      <c r="E9" s="2" t="s">
        <v>259</v>
      </c>
      <c r="F9" s="8">
        <v>4</v>
      </c>
      <c r="G9" s="21">
        <v>11400</v>
      </c>
      <c r="H9" s="21">
        <f t="shared" si="0"/>
        <v>45600</v>
      </c>
      <c r="I9" s="8" t="s">
        <v>256</v>
      </c>
      <c r="J9" s="39"/>
      <c r="K9" s="39"/>
      <c r="L9" s="39"/>
      <c r="M9" s="39"/>
    </row>
    <row r="10" spans="1:13" ht="13.4" customHeight="1">
      <c r="A10" s="8">
        <v>1003</v>
      </c>
      <c r="B10" s="19">
        <v>46176</v>
      </c>
      <c r="C10" s="2" t="s">
        <v>260</v>
      </c>
      <c r="D10" s="2" t="s">
        <v>261</v>
      </c>
      <c r="E10" s="2" t="s">
        <v>262</v>
      </c>
      <c r="F10" s="8">
        <v>7</v>
      </c>
      <c r="G10" s="21">
        <v>19300</v>
      </c>
      <c r="H10" s="21">
        <f t="shared" si="0"/>
        <v>135100</v>
      </c>
      <c r="I10" s="8" t="s">
        <v>23</v>
      </c>
      <c r="J10" s="39"/>
      <c r="K10" s="39"/>
      <c r="L10" s="39"/>
      <c r="M10" s="39"/>
    </row>
    <row r="11" spans="1:13" ht="13.4" customHeight="1">
      <c r="A11" s="8">
        <v>1004</v>
      </c>
      <c r="B11" s="19">
        <v>46177</v>
      </c>
      <c r="C11" s="2" t="s">
        <v>263</v>
      </c>
      <c r="D11" s="2" t="s">
        <v>264</v>
      </c>
      <c r="E11" s="2" t="s">
        <v>265</v>
      </c>
      <c r="F11" s="8">
        <v>10</v>
      </c>
      <c r="G11" s="21">
        <v>27200</v>
      </c>
      <c r="H11" s="21">
        <f t="shared" si="0"/>
        <v>272000</v>
      </c>
      <c r="I11" s="8" t="s">
        <v>23</v>
      </c>
      <c r="J11" s="39"/>
      <c r="K11" s="39"/>
      <c r="L11" s="39"/>
      <c r="M11" s="39"/>
    </row>
    <row r="12" spans="1:13" ht="13.4" customHeight="1">
      <c r="A12" s="8">
        <v>1005</v>
      </c>
      <c r="B12" s="19">
        <v>46178</v>
      </c>
      <c r="C12" s="2" t="s">
        <v>266</v>
      </c>
      <c r="D12" s="2" t="s">
        <v>267</v>
      </c>
      <c r="E12" s="2" t="s">
        <v>255</v>
      </c>
      <c r="F12" s="8">
        <v>1</v>
      </c>
      <c r="G12" s="21">
        <v>35100</v>
      </c>
      <c r="H12" s="21">
        <f t="shared" si="0"/>
        <v>35100</v>
      </c>
      <c r="I12" s="8" t="s">
        <v>268</v>
      </c>
      <c r="J12" s="39"/>
      <c r="K12" s="39"/>
      <c r="L12" s="39"/>
      <c r="M12" s="39"/>
    </row>
    <row r="13" spans="1:13" ht="13.4" customHeight="1">
      <c r="A13" s="8">
        <v>1006</v>
      </c>
      <c r="B13" s="19">
        <v>46179</v>
      </c>
      <c r="C13" s="2" t="s">
        <v>269</v>
      </c>
      <c r="D13" s="2" t="s">
        <v>254</v>
      </c>
      <c r="E13" s="2" t="s">
        <v>259</v>
      </c>
      <c r="F13" s="8">
        <v>4</v>
      </c>
      <c r="G13" s="21">
        <v>43000</v>
      </c>
      <c r="H13" s="21">
        <f t="shared" si="0"/>
        <v>172000</v>
      </c>
      <c r="I13" s="8" t="s">
        <v>256</v>
      </c>
      <c r="J13" s="39"/>
      <c r="K13" s="39"/>
      <c r="L13" s="39"/>
      <c r="M13" s="39"/>
    </row>
    <row r="14" spans="1:13" ht="13.4" customHeight="1">
      <c r="A14" s="8">
        <v>1007</v>
      </c>
      <c r="B14" s="19">
        <v>46180</v>
      </c>
      <c r="C14" s="2" t="s">
        <v>163</v>
      </c>
      <c r="D14" s="2" t="s">
        <v>258</v>
      </c>
      <c r="E14" s="2" t="s">
        <v>262</v>
      </c>
      <c r="F14" s="8">
        <v>7</v>
      </c>
      <c r="G14" s="21">
        <v>50900</v>
      </c>
      <c r="H14" s="21">
        <f t="shared" si="0"/>
        <v>356300</v>
      </c>
      <c r="I14" s="8" t="s">
        <v>256</v>
      </c>
      <c r="J14" s="39"/>
      <c r="K14" s="39"/>
      <c r="L14" s="39"/>
      <c r="M14" s="39"/>
    </row>
    <row r="15" spans="1:13" ht="13.4" customHeight="1">
      <c r="A15" s="8">
        <v>1008</v>
      </c>
      <c r="B15" s="19">
        <v>46181</v>
      </c>
      <c r="C15" s="2" t="s">
        <v>257</v>
      </c>
      <c r="D15" s="2" t="s">
        <v>261</v>
      </c>
      <c r="E15" s="2" t="s">
        <v>265</v>
      </c>
      <c r="F15" s="8">
        <v>10</v>
      </c>
      <c r="G15" s="21">
        <v>6800</v>
      </c>
      <c r="H15" s="21">
        <f t="shared" si="0"/>
        <v>68000</v>
      </c>
      <c r="I15" s="8" t="s">
        <v>23</v>
      </c>
      <c r="J15" s="39"/>
      <c r="K15" s="39"/>
      <c r="L15" s="39"/>
      <c r="M15" s="39"/>
    </row>
    <row r="16" spans="1:13" ht="13.4" customHeight="1">
      <c r="A16" s="8">
        <v>1009</v>
      </c>
      <c r="B16" s="19">
        <v>46182</v>
      </c>
      <c r="C16" s="2" t="s">
        <v>260</v>
      </c>
      <c r="D16" s="2" t="s">
        <v>264</v>
      </c>
      <c r="E16" s="2" t="s">
        <v>255</v>
      </c>
      <c r="F16" s="8">
        <v>1</v>
      </c>
      <c r="G16" s="21">
        <v>14700</v>
      </c>
      <c r="H16" s="21">
        <f t="shared" si="0"/>
        <v>14700</v>
      </c>
      <c r="I16" s="8" t="s">
        <v>23</v>
      </c>
      <c r="J16" s="39"/>
      <c r="K16" s="39"/>
      <c r="L16" s="39"/>
      <c r="M16" s="39"/>
    </row>
    <row r="17" spans="1:13" ht="13.4" customHeight="1">
      <c r="A17" s="8">
        <v>1010</v>
      </c>
      <c r="B17" s="19">
        <v>46183</v>
      </c>
      <c r="C17" s="2" t="s">
        <v>263</v>
      </c>
      <c r="D17" s="2" t="s">
        <v>267</v>
      </c>
      <c r="E17" s="2" t="s">
        <v>259</v>
      </c>
      <c r="F17" s="8">
        <v>4</v>
      </c>
      <c r="G17" s="21">
        <v>22600</v>
      </c>
      <c r="H17" s="21">
        <f t="shared" si="0"/>
        <v>90400</v>
      </c>
      <c r="I17" s="8" t="s">
        <v>268</v>
      </c>
      <c r="J17" s="39"/>
      <c r="K17" s="39"/>
      <c r="L17" s="39"/>
      <c r="M17" s="39"/>
    </row>
    <row r="18" spans="1:13" ht="13.4" customHeight="1">
      <c r="A18" s="8">
        <v>1011</v>
      </c>
      <c r="B18" s="19">
        <v>46184</v>
      </c>
      <c r="C18" s="2" t="s">
        <v>266</v>
      </c>
      <c r="D18" s="2" t="s">
        <v>254</v>
      </c>
      <c r="E18" s="2" t="s">
        <v>262</v>
      </c>
      <c r="F18" s="8">
        <v>7</v>
      </c>
      <c r="G18" s="21">
        <v>30500</v>
      </c>
      <c r="H18" s="21">
        <f t="shared" si="0"/>
        <v>213500</v>
      </c>
      <c r="I18" s="8" t="s">
        <v>256</v>
      </c>
      <c r="J18" s="39"/>
      <c r="K18" s="39"/>
      <c r="L18" s="39"/>
      <c r="M18" s="39"/>
    </row>
    <row r="19" spans="1:13" ht="13.4" customHeight="1">
      <c r="A19" s="8">
        <v>1012</v>
      </c>
      <c r="B19" s="19">
        <v>46185</v>
      </c>
      <c r="C19" s="2" t="s">
        <v>269</v>
      </c>
      <c r="D19" s="2" t="s">
        <v>258</v>
      </c>
      <c r="E19" s="2" t="s">
        <v>265</v>
      </c>
      <c r="F19" s="8">
        <v>10</v>
      </c>
      <c r="G19" s="21">
        <v>38400</v>
      </c>
      <c r="H19" s="21">
        <f t="shared" si="0"/>
        <v>384000</v>
      </c>
      <c r="I19" s="8" t="s">
        <v>256</v>
      </c>
      <c r="J19" s="39"/>
      <c r="K19" s="39"/>
      <c r="L19" s="39"/>
      <c r="M19" s="39"/>
    </row>
    <row r="20" spans="1:13" ht="13.4" customHeight="1">
      <c r="A20" s="8">
        <v>1013</v>
      </c>
      <c r="B20" s="19">
        <v>46186</v>
      </c>
      <c r="C20" s="2" t="s">
        <v>163</v>
      </c>
      <c r="D20" s="2" t="s">
        <v>261</v>
      </c>
      <c r="E20" s="2" t="s">
        <v>255</v>
      </c>
      <c r="F20" s="8">
        <v>1</v>
      </c>
      <c r="G20" s="21">
        <v>46300</v>
      </c>
      <c r="H20" s="21">
        <f t="shared" si="0"/>
        <v>46300</v>
      </c>
      <c r="I20" s="8" t="s">
        <v>23</v>
      </c>
      <c r="J20" s="39"/>
      <c r="K20" s="39"/>
      <c r="L20" s="39"/>
      <c r="M20" s="39"/>
    </row>
    <row r="21" spans="1:13" ht="13.4" customHeight="1">
      <c r="A21" s="8">
        <v>1014</v>
      </c>
      <c r="B21" s="19">
        <v>46187</v>
      </c>
      <c r="C21" s="2" t="s">
        <v>257</v>
      </c>
      <c r="D21" s="2" t="s">
        <v>264</v>
      </c>
      <c r="E21" s="2" t="s">
        <v>259</v>
      </c>
      <c r="F21" s="8">
        <v>4</v>
      </c>
      <c r="G21" s="21">
        <v>54200</v>
      </c>
      <c r="H21" s="21">
        <f t="shared" si="0"/>
        <v>216800</v>
      </c>
      <c r="I21" s="8" t="s">
        <v>23</v>
      </c>
      <c r="J21" s="39"/>
      <c r="K21" s="39"/>
      <c r="L21" s="39"/>
      <c r="M21" s="39"/>
    </row>
    <row r="22" spans="1:13" ht="13.4" customHeight="1">
      <c r="A22" s="8">
        <v>1015</v>
      </c>
      <c r="B22" s="19">
        <v>46188</v>
      </c>
      <c r="C22" s="2" t="s">
        <v>260</v>
      </c>
      <c r="D22" s="2" t="s">
        <v>267</v>
      </c>
      <c r="E22" s="2" t="s">
        <v>262</v>
      </c>
      <c r="F22" s="8">
        <v>7</v>
      </c>
      <c r="G22" s="21">
        <v>10100</v>
      </c>
      <c r="H22" s="21">
        <f t="shared" si="0"/>
        <v>70700</v>
      </c>
      <c r="I22" s="8" t="s">
        <v>268</v>
      </c>
      <c r="J22" s="39"/>
      <c r="K22" s="39"/>
      <c r="L22" s="39"/>
      <c r="M22" s="39"/>
    </row>
    <row r="23" spans="1:13" ht="13.4" customHeight="1">
      <c r="A23" s="8">
        <v>1016</v>
      </c>
      <c r="B23" s="19">
        <v>46189</v>
      </c>
      <c r="C23" s="2" t="s">
        <v>263</v>
      </c>
      <c r="D23" s="2" t="s">
        <v>254</v>
      </c>
      <c r="E23" s="2" t="s">
        <v>265</v>
      </c>
      <c r="F23" s="8">
        <v>10</v>
      </c>
      <c r="G23" s="21">
        <v>18000</v>
      </c>
      <c r="H23" s="21">
        <f t="shared" si="0"/>
        <v>180000</v>
      </c>
      <c r="I23" s="8" t="s">
        <v>256</v>
      </c>
      <c r="J23" s="39"/>
      <c r="K23" s="39"/>
      <c r="L23" s="39"/>
      <c r="M23" s="39"/>
    </row>
    <row r="24" spans="1:13" ht="13.4" customHeight="1">
      <c r="A24" s="8">
        <v>1017</v>
      </c>
      <c r="B24" s="19">
        <v>46190</v>
      </c>
      <c r="C24" s="2" t="s">
        <v>266</v>
      </c>
      <c r="D24" s="2" t="s">
        <v>258</v>
      </c>
      <c r="E24" s="2" t="s">
        <v>255</v>
      </c>
      <c r="F24" s="8">
        <v>1</v>
      </c>
      <c r="G24" s="21">
        <v>25900</v>
      </c>
      <c r="H24" s="21">
        <f t="shared" si="0"/>
        <v>25900</v>
      </c>
      <c r="I24" s="8" t="s">
        <v>256</v>
      </c>
      <c r="J24" s="39"/>
      <c r="K24" s="39"/>
      <c r="L24" s="39"/>
      <c r="M24" s="39"/>
    </row>
    <row r="25" spans="1:13" ht="13.4" customHeight="1">
      <c r="A25" s="8">
        <v>1018</v>
      </c>
      <c r="B25" s="19">
        <v>46191</v>
      </c>
      <c r="C25" s="2" t="s">
        <v>269</v>
      </c>
      <c r="D25" s="2" t="s">
        <v>261</v>
      </c>
      <c r="E25" s="2" t="s">
        <v>259</v>
      </c>
      <c r="F25" s="8">
        <v>4</v>
      </c>
      <c r="G25" s="21">
        <v>33800</v>
      </c>
      <c r="H25" s="21">
        <f t="shared" si="0"/>
        <v>135200</v>
      </c>
      <c r="I25" s="8" t="s">
        <v>23</v>
      </c>
      <c r="J25" s="39"/>
      <c r="K25" s="39"/>
      <c r="L25" s="39"/>
      <c r="M25" s="39"/>
    </row>
    <row r="26" spans="1:13" ht="13.4" customHeight="1">
      <c r="A26" s="8">
        <v>1019</v>
      </c>
      <c r="B26" s="19">
        <v>46192</v>
      </c>
      <c r="C26" s="2" t="s">
        <v>163</v>
      </c>
      <c r="D26" s="2" t="s">
        <v>264</v>
      </c>
      <c r="E26" s="2" t="s">
        <v>262</v>
      </c>
      <c r="F26" s="8">
        <v>7</v>
      </c>
      <c r="G26" s="21">
        <v>41700</v>
      </c>
      <c r="H26" s="21">
        <f t="shared" si="0"/>
        <v>291900</v>
      </c>
      <c r="I26" s="8" t="s">
        <v>23</v>
      </c>
      <c r="J26" s="39"/>
      <c r="K26" s="39"/>
      <c r="L26" s="39"/>
      <c r="M26" s="39"/>
    </row>
    <row r="27" spans="1:13" ht="13.4" customHeight="1">
      <c r="A27" s="8">
        <v>1020</v>
      </c>
      <c r="B27" s="19">
        <v>46193</v>
      </c>
      <c r="C27" s="2" t="s">
        <v>257</v>
      </c>
      <c r="D27" s="2" t="s">
        <v>267</v>
      </c>
      <c r="E27" s="2" t="s">
        <v>265</v>
      </c>
      <c r="F27" s="8">
        <v>10</v>
      </c>
      <c r="G27" s="21">
        <v>49600</v>
      </c>
      <c r="H27" s="21">
        <f t="shared" si="0"/>
        <v>496000</v>
      </c>
      <c r="I27" s="8" t="s">
        <v>268</v>
      </c>
      <c r="J27" s="39"/>
      <c r="K27" s="39"/>
      <c r="L27" s="39"/>
      <c r="M27" s="39"/>
    </row>
    <row r="28" spans="1:13" ht="13.4" customHeight="1">
      <c r="A28" s="8">
        <v>1021</v>
      </c>
      <c r="B28" s="19">
        <v>46194</v>
      </c>
      <c r="C28" s="2" t="s">
        <v>260</v>
      </c>
      <c r="D28" s="2" t="s">
        <v>254</v>
      </c>
      <c r="E28" s="2" t="s">
        <v>255</v>
      </c>
      <c r="F28" s="8">
        <v>1</v>
      </c>
      <c r="G28" s="21">
        <v>5500</v>
      </c>
      <c r="H28" s="21">
        <f t="shared" si="0"/>
        <v>5500</v>
      </c>
      <c r="I28" s="8" t="s">
        <v>256</v>
      </c>
      <c r="J28" s="39"/>
      <c r="K28" s="39"/>
      <c r="L28" s="39"/>
      <c r="M28" s="39"/>
    </row>
    <row r="29" spans="1:13" ht="13.4" customHeight="1">
      <c r="A29" s="8">
        <v>1022</v>
      </c>
      <c r="B29" s="19">
        <v>46195</v>
      </c>
      <c r="C29" s="2" t="s">
        <v>263</v>
      </c>
      <c r="D29" s="2" t="s">
        <v>258</v>
      </c>
      <c r="E29" s="2" t="s">
        <v>259</v>
      </c>
      <c r="F29" s="8">
        <v>4</v>
      </c>
      <c r="G29" s="21">
        <v>13400</v>
      </c>
      <c r="H29" s="21">
        <f t="shared" si="0"/>
        <v>53600</v>
      </c>
      <c r="I29" s="8" t="s">
        <v>256</v>
      </c>
      <c r="J29" s="39"/>
      <c r="K29" s="39"/>
      <c r="L29" s="39"/>
      <c r="M29" s="39"/>
    </row>
    <row r="30" spans="1:13" ht="13.4" customHeight="1">
      <c r="A30" s="8">
        <v>1023</v>
      </c>
      <c r="B30" s="19">
        <v>46196</v>
      </c>
      <c r="C30" s="2" t="s">
        <v>266</v>
      </c>
      <c r="D30" s="2" t="s">
        <v>261</v>
      </c>
      <c r="E30" s="2" t="s">
        <v>262</v>
      </c>
      <c r="F30" s="8">
        <v>7</v>
      </c>
      <c r="G30" s="21">
        <v>21300</v>
      </c>
      <c r="H30" s="21">
        <f t="shared" si="0"/>
        <v>149100</v>
      </c>
      <c r="I30" s="8" t="s">
        <v>23</v>
      </c>
      <c r="J30" s="39"/>
      <c r="K30" s="39"/>
      <c r="L30" s="39"/>
      <c r="M30" s="39"/>
    </row>
    <row r="31" spans="1:13" ht="13.4" customHeight="1">
      <c r="A31" s="8">
        <v>1024</v>
      </c>
      <c r="B31" s="19">
        <v>46197</v>
      </c>
      <c r="C31" s="2" t="s">
        <v>269</v>
      </c>
      <c r="D31" s="2" t="s">
        <v>264</v>
      </c>
      <c r="E31" s="2" t="s">
        <v>265</v>
      </c>
      <c r="F31" s="8">
        <v>10</v>
      </c>
      <c r="G31" s="21">
        <v>29200</v>
      </c>
      <c r="H31" s="21">
        <f t="shared" si="0"/>
        <v>292000</v>
      </c>
      <c r="I31" s="8" t="s">
        <v>23</v>
      </c>
      <c r="J31" s="39"/>
      <c r="K31" s="39"/>
      <c r="L31" s="39"/>
      <c r="M31" s="39"/>
    </row>
    <row r="32" spans="1:13" ht="13.4" customHeight="1">
      <c r="A32" s="8">
        <v>1025</v>
      </c>
      <c r="B32" s="19">
        <v>46198</v>
      </c>
      <c r="C32" s="2" t="s">
        <v>163</v>
      </c>
      <c r="D32" s="2" t="s">
        <v>267</v>
      </c>
      <c r="E32" s="2" t="s">
        <v>255</v>
      </c>
      <c r="F32" s="8">
        <v>1</v>
      </c>
      <c r="G32" s="21">
        <v>37100</v>
      </c>
      <c r="H32" s="21">
        <f t="shared" si="0"/>
        <v>37100</v>
      </c>
      <c r="I32" s="8" t="s">
        <v>268</v>
      </c>
      <c r="J32" s="39"/>
      <c r="K32" s="39"/>
      <c r="L32" s="39"/>
      <c r="M32" s="39"/>
    </row>
    <row r="33" spans="1:13" ht="13.4" customHeight="1">
      <c r="A33" s="8">
        <v>1026</v>
      </c>
      <c r="B33" s="19">
        <v>46199</v>
      </c>
      <c r="C33" s="2" t="s">
        <v>257</v>
      </c>
      <c r="D33" s="2" t="s">
        <v>254</v>
      </c>
      <c r="E33" s="2" t="s">
        <v>259</v>
      </c>
      <c r="F33" s="8">
        <v>4</v>
      </c>
      <c r="G33" s="21">
        <v>45000</v>
      </c>
      <c r="H33" s="21">
        <f t="shared" si="0"/>
        <v>180000</v>
      </c>
      <c r="I33" s="8" t="s">
        <v>256</v>
      </c>
      <c r="J33" s="39"/>
      <c r="K33" s="39"/>
      <c r="L33" s="39"/>
      <c r="M33" s="39"/>
    </row>
    <row r="34" spans="1:13" ht="13.4" customHeight="1">
      <c r="A34" s="8">
        <v>1027</v>
      </c>
      <c r="B34" s="19">
        <v>46200</v>
      </c>
      <c r="C34" s="2" t="s">
        <v>260</v>
      </c>
      <c r="D34" s="2" t="s">
        <v>258</v>
      </c>
      <c r="E34" s="2" t="s">
        <v>262</v>
      </c>
      <c r="F34" s="8">
        <v>7</v>
      </c>
      <c r="G34" s="21">
        <v>52900</v>
      </c>
      <c r="H34" s="21">
        <f t="shared" si="0"/>
        <v>370300</v>
      </c>
      <c r="I34" s="8" t="s">
        <v>256</v>
      </c>
      <c r="J34" s="39"/>
      <c r="K34" s="39"/>
      <c r="L34" s="39"/>
      <c r="M34" s="39"/>
    </row>
    <row r="35" spans="1:13" ht="13.4" customHeight="1">
      <c r="A35" s="8">
        <v>1028</v>
      </c>
      <c r="B35" s="19">
        <v>46201</v>
      </c>
      <c r="C35" s="2" t="s">
        <v>263</v>
      </c>
      <c r="D35" s="2" t="s">
        <v>261</v>
      </c>
      <c r="E35" s="2" t="s">
        <v>265</v>
      </c>
      <c r="F35" s="8">
        <v>10</v>
      </c>
      <c r="G35" s="21">
        <v>8800</v>
      </c>
      <c r="H35" s="21">
        <f t="shared" si="0"/>
        <v>88000</v>
      </c>
      <c r="I35" s="8" t="s">
        <v>23</v>
      </c>
      <c r="J35" s="39"/>
      <c r="K35" s="39"/>
      <c r="L35" s="39"/>
      <c r="M35" s="39"/>
    </row>
    <row r="36" spans="1:13" ht="13.4" customHeight="1">
      <c r="A36" s="8">
        <v>1029</v>
      </c>
      <c r="B36" s="19">
        <v>46202</v>
      </c>
      <c r="C36" s="2" t="s">
        <v>266</v>
      </c>
      <c r="D36" s="2" t="s">
        <v>264</v>
      </c>
      <c r="E36" s="2" t="s">
        <v>255</v>
      </c>
      <c r="F36" s="8">
        <v>1</v>
      </c>
      <c r="G36" s="21">
        <v>16700</v>
      </c>
      <c r="H36" s="21">
        <f t="shared" si="0"/>
        <v>16700</v>
      </c>
      <c r="I36" s="8" t="s">
        <v>23</v>
      </c>
      <c r="J36" s="39"/>
      <c r="K36" s="39"/>
      <c r="L36" s="39"/>
      <c r="M36" s="39"/>
    </row>
    <row r="37" spans="1:13" ht="13.4" customHeight="1">
      <c r="A37" s="8">
        <v>1030</v>
      </c>
      <c r="B37" s="19">
        <v>46203</v>
      </c>
      <c r="C37" s="2" t="s">
        <v>269</v>
      </c>
      <c r="D37" s="2" t="s">
        <v>267</v>
      </c>
      <c r="E37" s="2" t="s">
        <v>259</v>
      </c>
      <c r="F37" s="8">
        <v>4</v>
      </c>
      <c r="G37" s="21">
        <v>24600</v>
      </c>
      <c r="H37" s="21">
        <f t="shared" si="0"/>
        <v>98400</v>
      </c>
      <c r="I37" s="8" t="s">
        <v>268</v>
      </c>
      <c r="J37" s="39"/>
      <c r="K37" s="39"/>
      <c r="L37" s="39"/>
      <c r="M37" s="39"/>
    </row>
    <row r="38" spans="1:13">
      <c r="A38" s="39"/>
      <c r="B38" s="39"/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</row>
    <row r="39" spans="1:13" ht="16" customHeight="1">
      <c r="A39" s="55" t="s">
        <v>270</v>
      </c>
      <c r="B39" s="56"/>
      <c r="C39" s="56"/>
      <c r="D39" s="56"/>
      <c r="E39" s="56"/>
      <c r="F39" s="56"/>
      <c r="G39" s="56"/>
      <c r="H39" s="56"/>
      <c r="I39" s="57"/>
      <c r="J39" s="39"/>
      <c r="K39" s="39"/>
      <c r="L39" s="39"/>
      <c r="M39" s="39"/>
    </row>
    <row r="40" spans="1:13" ht="29">
      <c r="A40" s="1" t="s">
        <v>271</v>
      </c>
      <c r="B40" s="59" t="s">
        <v>272</v>
      </c>
      <c r="C40" s="59"/>
      <c r="D40" s="59"/>
      <c r="E40" s="59"/>
      <c r="F40" s="59"/>
      <c r="G40" s="59"/>
      <c r="H40" s="59"/>
      <c r="I40" s="59"/>
      <c r="J40" s="39"/>
      <c r="K40" s="39"/>
      <c r="L40" s="39"/>
      <c r="M40" s="39"/>
    </row>
    <row r="41" spans="1:13">
      <c r="A41" s="44" t="s">
        <v>273</v>
      </c>
      <c r="B41" s="58" t="s">
        <v>274</v>
      </c>
      <c r="C41" s="58"/>
      <c r="D41" s="58"/>
      <c r="E41" s="58"/>
      <c r="F41" s="58"/>
      <c r="G41" s="58"/>
      <c r="H41" s="58"/>
      <c r="I41" s="58"/>
      <c r="J41" s="39"/>
      <c r="K41" s="39"/>
      <c r="L41" s="39"/>
      <c r="M41" s="39"/>
    </row>
    <row r="42" spans="1:13" ht="26">
      <c r="A42" s="44" t="s">
        <v>275</v>
      </c>
      <c r="B42" s="58" t="s">
        <v>276</v>
      </c>
      <c r="C42" s="58"/>
      <c r="D42" s="58"/>
      <c r="E42" s="58"/>
      <c r="F42" s="58"/>
      <c r="G42" s="58"/>
      <c r="H42" s="58"/>
      <c r="I42" s="58"/>
      <c r="J42" s="39"/>
      <c r="K42" s="39"/>
      <c r="L42" s="39"/>
      <c r="M42" s="39"/>
    </row>
    <row r="43" spans="1:13" ht="26">
      <c r="A43" s="44" t="s">
        <v>277</v>
      </c>
      <c r="B43" s="58" t="s">
        <v>278</v>
      </c>
      <c r="C43" s="58"/>
      <c r="D43" s="58"/>
      <c r="E43" s="58"/>
      <c r="F43" s="58"/>
      <c r="G43" s="58"/>
      <c r="H43" s="58"/>
      <c r="I43" s="58"/>
      <c r="J43" s="39"/>
      <c r="K43" s="39"/>
      <c r="L43" s="39"/>
      <c r="M43" s="39"/>
    </row>
    <row r="44" spans="1:13" ht="26">
      <c r="A44" s="44" t="s">
        <v>279</v>
      </c>
      <c r="B44" s="58" t="s">
        <v>280</v>
      </c>
      <c r="C44" s="58"/>
      <c r="D44" s="58"/>
      <c r="E44" s="58"/>
      <c r="F44" s="58"/>
      <c r="G44" s="58"/>
      <c r="H44" s="58"/>
      <c r="I44" s="58"/>
      <c r="J44" s="39"/>
      <c r="K44" s="39"/>
      <c r="L44" s="39"/>
      <c r="M44" s="39"/>
    </row>
    <row r="45" spans="1:13">
      <c r="A45" s="39"/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</row>
    <row r="46" spans="1:13">
      <c r="A46" s="39"/>
      <c r="B46" s="39"/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</row>
    <row r="47" spans="1:13">
      <c r="A47" s="39"/>
      <c r="B47" s="39"/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</row>
    <row r="48" spans="1:13">
      <c r="A48" s="39"/>
      <c r="B48" s="39"/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</row>
    <row r="49" spans="1:13">
      <c r="A49" s="39"/>
      <c r="B49" s="39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</row>
    <row r="50" spans="1:13">
      <c r="A50" s="39"/>
      <c r="B50" s="39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</row>
    <row r="51" spans="1:13">
      <c r="A51" s="39"/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39"/>
      <c r="M51" s="39"/>
    </row>
    <row r="52" spans="1:13">
      <c r="A52" s="39"/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39"/>
    </row>
    <row r="53" spans="1:13">
      <c r="A53" s="39"/>
      <c r="B53" s="39"/>
      <c r="C53" s="39"/>
      <c r="D53" s="39"/>
      <c r="E53" s="39"/>
      <c r="F53" s="39"/>
      <c r="G53" s="39"/>
      <c r="H53" s="39"/>
      <c r="I53" s="39"/>
      <c r="J53" s="39"/>
      <c r="K53" s="39"/>
      <c r="L53" s="39"/>
      <c r="M53" s="39"/>
    </row>
    <row r="54" spans="1:13">
      <c r="A54" s="39"/>
      <c r="B54" s="39"/>
      <c r="C54" s="39"/>
      <c r="D54" s="39"/>
      <c r="E54" s="39"/>
      <c r="F54" s="39"/>
      <c r="G54" s="39"/>
      <c r="H54" s="39"/>
      <c r="I54" s="39"/>
      <c r="J54" s="39"/>
      <c r="K54" s="39"/>
      <c r="L54" s="39"/>
      <c r="M54" s="39"/>
    </row>
    <row r="55" spans="1:13">
      <c r="A55" s="39"/>
      <c r="B55" s="39"/>
      <c r="C55" s="39"/>
      <c r="D55" s="39"/>
      <c r="E55" s="39"/>
      <c r="F55" s="39"/>
      <c r="G55" s="39"/>
      <c r="H55" s="39"/>
      <c r="I55" s="39"/>
      <c r="J55" s="39"/>
      <c r="K55" s="39"/>
      <c r="L55" s="39"/>
      <c r="M55" s="39"/>
    </row>
    <row r="56" spans="1:13">
      <c r="A56" s="39"/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</row>
    <row r="57" spans="1:13">
      <c r="A57" s="39"/>
      <c r="B57" s="39"/>
      <c r="C57" s="39"/>
      <c r="D57" s="39"/>
      <c r="E57" s="39"/>
      <c r="F57" s="39"/>
      <c r="G57" s="39"/>
      <c r="H57" s="39"/>
      <c r="I57" s="39"/>
      <c r="J57" s="39"/>
      <c r="K57" s="39"/>
      <c r="L57" s="39"/>
      <c r="M57" s="39"/>
    </row>
    <row r="58" spans="1:13">
      <c r="A58" s="39"/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39"/>
    </row>
    <row r="59" spans="1:13">
      <c r="A59" s="39"/>
      <c r="B59" s="39"/>
      <c r="C59" s="39"/>
      <c r="D59" s="39"/>
      <c r="E59" s="39"/>
      <c r="F59" s="39"/>
      <c r="G59" s="39"/>
      <c r="H59" s="39"/>
      <c r="I59" s="39"/>
      <c r="J59" s="39"/>
      <c r="K59" s="39"/>
      <c r="L59" s="39"/>
      <c r="M59" s="39"/>
    </row>
    <row r="60" spans="1:13">
      <c r="A60" s="39"/>
      <c r="B60" s="39"/>
      <c r="C60" s="39"/>
      <c r="D60" s="39"/>
      <c r="E60" s="39"/>
      <c r="F60" s="39"/>
      <c r="G60" s="39"/>
      <c r="H60" s="39"/>
      <c r="I60" s="39"/>
      <c r="J60" s="39"/>
      <c r="K60" s="39"/>
      <c r="L60" s="39"/>
      <c r="M60" s="39"/>
    </row>
    <row r="61" spans="1:13">
      <c r="A61" s="39"/>
      <c r="B61" s="39"/>
      <c r="C61" s="39"/>
      <c r="D61" s="39"/>
      <c r="E61" s="39"/>
      <c r="F61" s="39"/>
      <c r="G61" s="39"/>
      <c r="H61" s="39"/>
      <c r="I61" s="39"/>
      <c r="J61" s="39"/>
      <c r="K61" s="39"/>
      <c r="L61" s="39"/>
      <c r="M61" s="39"/>
    </row>
    <row r="62" spans="1:13">
      <c r="A62" s="39"/>
      <c r="B62" s="39"/>
      <c r="C62" s="39"/>
      <c r="D62" s="39"/>
      <c r="E62" s="39"/>
      <c r="F62" s="39"/>
      <c r="G62" s="39"/>
      <c r="H62" s="39"/>
      <c r="I62" s="39"/>
      <c r="J62" s="39"/>
      <c r="K62" s="39"/>
      <c r="L62" s="39"/>
      <c r="M62" s="39"/>
    </row>
    <row r="63" spans="1:13">
      <c r="A63" s="39"/>
      <c r="B63" s="39"/>
      <c r="C63" s="39"/>
      <c r="D63" s="39"/>
      <c r="E63" s="39"/>
      <c r="F63" s="39"/>
      <c r="G63" s="39"/>
      <c r="H63" s="39"/>
      <c r="I63" s="39"/>
      <c r="J63" s="39"/>
      <c r="K63" s="39"/>
      <c r="L63" s="39"/>
      <c r="M63" s="39"/>
    </row>
    <row r="64" spans="1:13">
      <c r="A64" s="39"/>
      <c r="B64" s="39"/>
      <c r="C64" s="39"/>
      <c r="D64" s="39"/>
      <c r="E64" s="39"/>
      <c r="F64" s="39"/>
      <c r="G64" s="39"/>
      <c r="H64" s="39"/>
      <c r="I64" s="39"/>
      <c r="J64" s="39"/>
      <c r="K64" s="39"/>
      <c r="L64" s="39"/>
      <c r="M64" s="39"/>
    </row>
    <row r="65" spans="1:13">
      <c r="A65" s="39"/>
      <c r="B65" s="39"/>
      <c r="C65" s="39"/>
      <c r="D65" s="39"/>
      <c r="E65" s="39"/>
      <c r="F65" s="39"/>
      <c r="G65" s="39"/>
      <c r="H65" s="39"/>
      <c r="I65" s="39"/>
      <c r="J65" s="39"/>
      <c r="K65" s="39"/>
      <c r="L65" s="39"/>
      <c r="M65" s="39"/>
    </row>
    <row r="66" spans="1:13">
      <c r="A66" s="39"/>
      <c r="B66" s="39"/>
      <c r="C66" s="39"/>
      <c r="D66" s="39"/>
      <c r="E66" s="39"/>
      <c r="F66" s="39"/>
      <c r="G66" s="39"/>
      <c r="H66" s="39"/>
      <c r="I66" s="39"/>
      <c r="J66" s="39"/>
      <c r="K66" s="39"/>
      <c r="L66" s="39"/>
      <c r="M66" s="39"/>
    </row>
    <row r="67" spans="1:13">
      <c r="A67" s="39"/>
      <c r="B67" s="39"/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</row>
    <row r="68" spans="1:13">
      <c r="A68" s="39"/>
      <c r="B68" s="39"/>
      <c r="C68" s="39"/>
      <c r="D68" s="39"/>
      <c r="E68" s="39"/>
      <c r="F68" s="39"/>
      <c r="G68" s="39"/>
      <c r="H68" s="39"/>
      <c r="I68" s="39"/>
      <c r="J68" s="39"/>
      <c r="K68" s="39"/>
      <c r="L68" s="39"/>
      <c r="M68" s="39"/>
    </row>
    <row r="69" spans="1:13">
      <c r="A69" s="39"/>
      <c r="B69" s="39"/>
      <c r="C69" s="39"/>
      <c r="D69" s="39"/>
      <c r="E69" s="39"/>
      <c r="F69" s="39"/>
      <c r="G69" s="39"/>
      <c r="H69" s="39"/>
      <c r="I69" s="39"/>
      <c r="J69" s="39"/>
      <c r="K69" s="39"/>
      <c r="L69" s="39"/>
      <c r="M69" s="39"/>
    </row>
    <row r="70" spans="1:13">
      <c r="A70" s="39"/>
      <c r="B70" s="39"/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</row>
  </sheetData>
  <mergeCells count="9">
    <mergeCell ref="B41:I41"/>
    <mergeCell ref="B42:I42"/>
    <mergeCell ref="B43:I43"/>
    <mergeCell ref="B44:I44"/>
    <mergeCell ref="A1:I2"/>
    <mergeCell ref="A3:I3"/>
    <mergeCell ref="A5:I5"/>
    <mergeCell ref="A39:I39"/>
    <mergeCell ref="B40:I40"/>
  </mergeCells>
  <conditionalFormatting sqref="I8:I37">
    <cfRule type="expression" dxfId="3" priority="1">
      <formula>I8="Entregado"</formula>
    </cfRule>
    <cfRule type="expression" dxfId="2" priority="2">
      <formula>I8="Pendiente"</formula>
    </cfRule>
    <cfRule type="expression" dxfId="1" priority="3">
      <formula>I8="Cancelado"</formula>
    </cfRule>
  </conditionalFormatting>
  <printOptions horizontalCentered="1"/>
  <pageMargins left="0.25" right="0.25" top="0.5" bottom="0.5" header="0.2" footer="0.2"/>
  <pageSetup paperSize="9" scale="94" fitToHeight="0" orientation="landscape" horizontalDpi="300" verticalDpi="300" r:id="rId1"/>
  <headerFooter>
    <oddFooter>&amp;LGuía Excel básico&amp;C&amp;P de &amp;N&amp;R&amp;D</oddFooter>
  </headerFooter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autoPageBreaks="0" fitToPage="1"/>
  </sheetPr>
  <dimension ref="A1:M70"/>
  <sheetViews>
    <sheetView tabSelected="1" topLeftCell="H9" zoomScale="108" zoomScaleNormal="115" workbookViewId="0">
      <selection activeCell="L14" sqref="L14"/>
    </sheetView>
  </sheetViews>
  <sheetFormatPr baseColWidth="10" defaultColWidth="8.6640625" defaultRowHeight="14"/>
  <cols>
    <col min="1" max="1" width="18" customWidth="1"/>
    <col min="2" max="5" width="14" customWidth="1"/>
    <col min="6" max="6" width="16" customWidth="1"/>
    <col min="7" max="7" width="17" customWidth="1"/>
    <col min="8" max="8" width="18" customWidth="1"/>
    <col min="9" max="9" width="24" customWidth="1"/>
    <col min="10" max="12" width="18" customWidth="1"/>
  </cols>
  <sheetData>
    <row r="1" spans="1:13" ht="16.649999999999999" customHeight="1">
      <c r="A1" s="46" t="s">
        <v>281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8"/>
      <c r="M1" s="39"/>
    </row>
    <row r="2" spans="1:13" ht="16.649999999999999" customHeight="1">
      <c r="A2" s="49"/>
      <c r="B2" s="50"/>
      <c r="C2" s="50"/>
      <c r="D2" s="50"/>
      <c r="E2" s="50"/>
      <c r="F2" s="50"/>
      <c r="G2" s="50"/>
      <c r="H2" s="50"/>
      <c r="I2" s="50"/>
      <c r="J2" s="50"/>
      <c r="K2" s="50"/>
      <c r="L2" s="51"/>
      <c r="M2" s="39"/>
    </row>
    <row r="3" spans="1:13" ht="20" customHeight="1">
      <c r="A3" s="52" t="s">
        <v>282</v>
      </c>
      <c r="B3" s="53"/>
      <c r="C3" s="53"/>
      <c r="D3" s="53"/>
      <c r="E3" s="53"/>
      <c r="F3" s="53"/>
      <c r="G3" s="53"/>
      <c r="H3" s="53"/>
      <c r="I3" s="53"/>
      <c r="J3" s="53"/>
      <c r="K3" s="53"/>
      <c r="L3" s="54"/>
      <c r="M3" s="39"/>
    </row>
    <row r="4" spans="1:13">
      <c r="A4" s="39"/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</row>
    <row r="5" spans="1:13" ht="16" customHeight="1">
      <c r="A5" s="55" t="s">
        <v>283</v>
      </c>
      <c r="B5" s="56"/>
      <c r="C5" s="56"/>
      <c r="D5" s="56"/>
      <c r="E5" s="56"/>
      <c r="F5" s="57"/>
      <c r="G5" s="39"/>
      <c r="H5" s="55" t="s">
        <v>284</v>
      </c>
      <c r="I5" s="56"/>
      <c r="J5" s="56"/>
      <c r="K5" s="56"/>
      <c r="L5" s="57"/>
      <c r="M5" s="39"/>
    </row>
    <row r="6" spans="1:13" ht="14.5">
      <c r="A6" s="1" t="s">
        <v>285</v>
      </c>
      <c r="B6" s="1" t="s">
        <v>113</v>
      </c>
      <c r="C6" s="59" t="s">
        <v>286</v>
      </c>
      <c r="D6" s="59"/>
      <c r="E6" s="59"/>
      <c r="F6" s="59"/>
      <c r="G6" s="39"/>
      <c r="H6" s="1" t="s">
        <v>287</v>
      </c>
      <c r="I6" s="1" t="s">
        <v>288</v>
      </c>
      <c r="J6" s="1" t="s">
        <v>289</v>
      </c>
      <c r="K6" s="59" t="s">
        <v>290</v>
      </c>
      <c r="L6" s="59"/>
      <c r="M6" s="39"/>
    </row>
    <row r="7" spans="1:13">
      <c r="A7" s="7" t="s">
        <v>291</v>
      </c>
      <c r="B7" s="7" t="s">
        <v>292</v>
      </c>
      <c r="C7" s="58" t="s">
        <v>293</v>
      </c>
      <c r="D7" s="58"/>
      <c r="E7" s="58"/>
      <c r="F7" s="58"/>
      <c r="G7" s="39"/>
      <c r="H7" s="9" t="s">
        <v>294</v>
      </c>
      <c r="I7" s="9" t="s">
        <v>295</v>
      </c>
      <c r="J7" s="30">
        <f>SUM(B14:E18)</f>
        <v>2933</v>
      </c>
      <c r="K7" s="64" t="s">
        <v>296</v>
      </c>
      <c r="L7" s="64"/>
      <c r="M7" s="39"/>
    </row>
    <row r="8" spans="1:13">
      <c r="A8" s="7" t="s">
        <v>297</v>
      </c>
      <c r="B8" s="7" t="s">
        <v>298</v>
      </c>
      <c r="C8" s="58" t="s">
        <v>299</v>
      </c>
      <c r="D8" s="58"/>
      <c r="E8" s="58"/>
      <c r="F8" s="58"/>
      <c r="G8" s="39"/>
      <c r="H8" s="9" t="s">
        <v>300</v>
      </c>
      <c r="I8" s="9" t="s">
        <v>301</v>
      </c>
      <c r="J8" s="30">
        <f>AVERAGE(B14:E18)</f>
        <v>146.65</v>
      </c>
      <c r="K8" s="64" t="s">
        <v>302</v>
      </c>
      <c r="L8" s="64"/>
      <c r="M8" s="39"/>
    </row>
    <row r="9" spans="1:13">
      <c r="A9" s="7" t="s">
        <v>303</v>
      </c>
      <c r="B9" s="7" t="s">
        <v>304</v>
      </c>
      <c r="C9" s="58" t="s">
        <v>305</v>
      </c>
      <c r="D9" s="58"/>
      <c r="E9" s="58"/>
      <c r="F9" s="58"/>
      <c r="G9" s="39"/>
      <c r="H9" s="9" t="s">
        <v>306</v>
      </c>
      <c r="I9" s="9" t="s">
        <v>307</v>
      </c>
      <c r="J9" s="30">
        <f>COUNT(B14:E18)</f>
        <v>20</v>
      </c>
      <c r="K9" s="64" t="s">
        <v>308</v>
      </c>
      <c r="L9" s="64"/>
      <c r="M9" s="39"/>
    </row>
    <row r="10" spans="1:13">
      <c r="A10" s="7" t="s">
        <v>309</v>
      </c>
      <c r="B10" s="7" t="s">
        <v>310</v>
      </c>
      <c r="C10" s="58" t="s">
        <v>311</v>
      </c>
      <c r="D10" s="58"/>
      <c r="E10" s="58"/>
      <c r="F10" s="58"/>
      <c r="G10" s="39"/>
      <c r="H10" s="9" t="s">
        <v>312</v>
      </c>
      <c r="I10" s="9" t="s">
        <v>313</v>
      </c>
      <c r="J10" s="30">
        <f>MAX(B14:E18)</f>
        <v>245</v>
      </c>
      <c r="K10" s="64" t="s">
        <v>314</v>
      </c>
      <c r="L10" s="64"/>
      <c r="M10" s="39"/>
    </row>
    <row r="11" spans="1:13">
      <c r="A11" s="39"/>
      <c r="B11" s="39"/>
      <c r="C11" s="39"/>
      <c r="D11" s="39"/>
      <c r="E11" s="39"/>
      <c r="F11" s="39"/>
      <c r="G11" s="39"/>
      <c r="H11" s="9" t="s">
        <v>315</v>
      </c>
      <c r="I11" s="9" t="s">
        <v>316</v>
      </c>
      <c r="J11" s="30">
        <f>MIN(B14:E18)</f>
        <v>75</v>
      </c>
      <c r="K11" s="64" t="s">
        <v>317</v>
      </c>
      <c r="L11" s="64"/>
      <c r="M11" s="39"/>
    </row>
    <row r="12" spans="1:13" ht="16" customHeight="1">
      <c r="A12" s="55" t="s">
        <v>318</v>
      </c>
      <c r="B12" s="56"/>
      <c r="C12" s="56"/>
      <c r="D12" s="56"/>
      <c r="E12" s="56"/>
      <c r="F12" s="57"/>
      <c r="G12" s="39"/>
      <c r="H12" s="39"/>
      <c r="I12" s="39"/>
      <c r="J12" s="39"/>
      <c r="K12" s="39"/>
      <c r="L12" s="39"/>
      <c r="M12" s="39"/>
    </row>
    <row r="13" spans="1:13" ht="29">
      <c r="A13" s="1" t="s">
        <v>185</v>
      </c>
      <c r="B13" s="1" t="s">
        <v>319</v>
      </c>
      <c r="C13" s="1" t="s">
        <v>320</v>
      </c>
      <c r="D13" s="1" t="s">
        <v>321</v>
      </c>
      <c r="E13" s="1" t="s">
        <v>322</v>
      </c>
      <c r="F13" s="1" t="s">
        <v>323</v>
      </c>
      <c r="G13" s="39"/>
      <c r="H13" s="39"/>
      <c r="I13" s="39"/>
      <c r="J13" s="39"/>
      <c r="K13" s="39"/>
      <c r="L13" s="39"/>
      <c r="M13" s="39"/>
    </row>
    <row r="14" spans="1:13">
      <c r="A14" s="9" t="s">
        <v>119</v>
      </c>
      <c r="B14" s="29">
        <v>120</v>
      </c>
      <c r="C14" s="29">
        <v>135</v>
      </c>
      <c r="D14" s="29">
        <v>150</v>
      </c>
      <c r="E14" s="29">
        <v>170</v>
      </c>
      <c r="F14" s="29">
        <f>B14+C14+D14+E14</f>
        <v>575</v>
      </c>
      <c r="G14" s="39"/>
      <c r="H14" s="39"/>
      <c r="I14" s="39"/>
      <c r="J14" s="39"/>
      <c r="K14" s="39"/>
      <c r="L14" s="77"/>
      <c r="M14" s="39"/>
    </row>
    <row r="15" spans="1:13">
      <c r="A15" s="9" t="s">
        <v>324</v>
      </c>
      <c r="B15" s="29">
        <v>95</v>
      </c>
      <c r="C15" s="29">
        <v>110</v>
      </c>
      <c r="D15" s="29">
        <v>100</v>
      </c>
      <c r="E15" s="29">
        <v>125</v>
      </c>
      <c r="F15" s="29">
        <f>B15+C15+D15+E15</f>
        <v>430</v>
      </c>
      <c r="G15" s="39"/>
      <c r="H15" s="39"/>
      <c r="I15" s="39"/>
      <c r="J15" s="39"/>
      <c r="K15" s="39"/>
      <c r="L15" s="39"/>
      <c r="M15" s="39"/>
    </row>
    <row r="16" spans="1:13">
      <c r="A16" s="9" t="s">
        <v>325</v>
      </c>
      <c r="B16" s="29">
        <v>210</v>
      </c>
      <c r="C16" s="29">
        <v>190</v>
      </c>
      <c r="D16" s="29">
        <v>230</v>
      </c>
      <c r="E16" s="29">
        <v>245</v>
      </c>
      <c r="F16" s="29">
        <f>B16+C16+D16+E16</f>
        <v>875</v>
      </c>
      <c r="G16" s="39"/>
      <c r="H16" s="39"/>
      <c r="I16" s="39"/>
      <c r="J16" s="39"/>
      <c r="K16" s="39"/>
      <c r="L16" s="39"/>
      <c r="M16" s="39"/>
    </row>
    <row r="17" spans="1:13">
      <c r="A17" s="9" t="s">
        <v>326</v>
      </c>
      <c r="B17" s="29">
        <v>75</v>
      </c>
      <c r="C17" s="29">
        <v>90</v>
      </c>
      <c r="D17" s="29">
        <v>88</v>
      </c>
      <c r="E17" s="29">
        <v>105</v>
      </c>
      <c r="F17" s="29">
        <f>B17+C17+D17+E17</f>
        <v>358</v>
      </c>
      <c r="G17" s="39"/>
      <c r="H17" s="39"/>
      <c r="I17" s="39"/>
      <c r="J17" s="39"/>
      <c r="K17" s="39"/>
      <c r="L17" s="39"/>
      <c r="M17" s="39"/>
    </row>
    <row r="18" spans="1:13" ht="15" customHeight="1">
      <c r="A18" s="9" t="s">
        <v>327</v>
      </c>
      <c r="B18" s="29">
        <v>160</v>
      </c>
      <c r="C18" s="29">
        <v>155</v>
      </c>
      <c r="D18" s="29">
        <v>180</v>
      </c>
      <c r="E18" s="29">
        <v>200</v>
      </c>
      <c r="F18" s="29">
        <f>B18+C18+D18+E18</f>
        <v>695</v>
      </c>
      <c r="G18" s="39"/>
      <c r="H18" s="39"/>
      <c r="I18" s="39"/>
      <c r="J18" s="39"/>
      <c r="K18" s="39"/>
      <c r="L18" s="39"/>
      <c r="M18" s="39"/>
    </row>
    <row r="19" spans="1:13" ht="54.5" customHeight="1">
      <c r="A19" s="39"/>
      <c r="B19" s="39"/>
      <c r="C19" s="39"/>
      <c r="D19" s="39"/>
      <c r="E19" s="39"/>
      <c r="F19" s="39"/>
      <c r="G19" s="39"/>
      <c r="H19" s="39"/>
      <c r="I19" s="39"/>
      <c r="J19" s="39"/>
      <c r="K19" s="108"/>
      <c r="L19" s="39"/>
      <c r="M19" s="39"/>
    </row>
    <row r="20" spans="1:13" ht="54.5" customHeight="1">
      <c r="A20" s="39"/>
      <c r="B20" s="39"/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</row>
    <row r="21" spans="1:13" ht="16" customHeight="1">
      <c r="A21" s="55" t="s">
        <v>328</v>
      </c>
      <c r="B21" s="56"/>
      <c r="C21" s="56"/>
      <c r="D21" s="56"/>
      <c r="E21" s="56"/>
      <c r="F21" s="56"/>
      <c r="G21" s="56"/>
      <c r="H21" s="56"/>
      <c r="I21" s="56"/>
      <c r="J21" s="56"/>
      <c r="K21" s="56"/>
      <c r="L21" s="57"/>
      <c r="M21" s="39"/>
    </row>
    <row r="22" spans="1:13" ht="43.5">
      <c r="A22" s="1" t="s">
        <v>329</v>
      </c>
      <c r="B22" s="1" t="s">
        <v>330</v>
      </c>
      <c r="C22" s="1" t="s">
        <v>331</v>
      </c>
      <c r="D22" s="39"/>
      <c r="E22" s="1" t="s">
        <v>332</v>
      </c>
      <c r="F22" s="1" t="s">
        <v>333</v>
      </c>
      <c r="G22" s="88" t="s">
        <v>289</v>
      </c>
      <c r="H22" s="39"/>
      <c r="I22" s="39"/>
      <c r="J22" s="39"/>
      <c r="K22" s="39"/>
      <c r="L22" s="39"/>
      <c r="M22" s="39"/>
    </row>
    <row r="23" spans="1:13">
      <c r="A23" s="2" t="s">
        <v>334</v>
      </c>
      <c r="B23" s="2">
        <v>120</v>
      </c>
      <c r="C23" s="2">
        <v>15</v>
      </c>
      <c r="D23" s="39"/>
      <c r="E23" s="7" t="s">
        <v>335</v>
      </c>
      <c r="F23" s="7" t="s">
        <v>336</v>
      </c>
      <c r="G23" s="10"/>
      <c r="H23" s="39"/>
      <c r="I23" s="39"/>
      <c r="J23" s="39"/>
      <c r="K23" s="39"/>
      <c r="L23" s="39"/>
      <c r="M23" s="39"/>
    </row>
    <row r="24" spans="1:13" ht="26">
      <c r="A24" s="2" t="s">
        <v>337</v>
      </c>
      <c r="B24" s="2">
        <v>145</v>
      </c>
      <c r="C24" s="2">
        <v>18</v>
      </c>
      <c r="D24" s="39"/>
      <c r="E24" s="7" t="s">
        <v>338</v>
      </c>
      <c r="F24" s="7" t="s">
        <v>339</v>
      </c>
      <c r="G24" s="10"/>
      <c r="H24" s="39"/>
      <c r="I24" s="39"/>
      <c r="J24" s="39"/>
      <c r="K24" s="39"/>
      <c r="L24" s="39"/>
      <c r="M24" s="39"/>
    </row>
    <row r="25" spans="1:13" ht="26">
      <c r="A25" s="2" t="s">
        <v>340</v>
      </c>
      <c r="B25" s="2">
        <v>98</v>
      </c>
      <c r="C25" s="2">
        <v>11</v>
      </c>
      <c r="D25" s="39"/>
      <c r="E25" s="7" t="s">
        <v>341</v>
      </c>
      <c r="F25" s="7" t="s">
        <v>342</v>
      </c>
      <c r="G25" s="10"/>
      <c r="H25" s="39"/>
      <c r="I25" s="39"/>
      <c r="J25" s="39"/>
      <c r="K25" s="39"/>
      <c r="L25" s="39"/>
      <c r="M25" s="39"/>
    </row>
    <row r="26" spans="1:13" ht="26">
      <c r="A26" s="2" t="s">
        <v>343</v>
      </c>
      <c r="B26" s="2">
        <v>170</v>
      </c>
      <c r="C26" s="2">
        <v>22</v>
      </c>
      <c r="D26" s="39"/>
      <c r="E26" s="7" t="s">
        <v>344</v>
      </c>
      <c r="F26" s="7" t="s">
        <v>345</v>
      </c>
      <c r="G26" s="10"/>
      <c r="H26" s="39"/>
      <c r="I26" s="39"/>
      <c r="J26" s="39"/>
      <c r="K26" s="39"/>
      <c r="L26" s="39"/>
      <c r="M26" s="39"/>
    </row>
    <row r="27" spans="1:13" ht="26">
      <c r="A27" s="2" t="s">
        <v>346</v>
      </c>
      <c r="B27" s="2">
        <v>155</v>
      </c>
      <c r="C27" s="2">
        <v>19</v>
      </c>
      <c r="D27" s="39"/>
      <c r="E27" s="7" t="s">
        <v>347</v>
      </c>
      <c r="F27" s="7" t="s">
        <v>348</v>
      </c>
      <c r="G27" s="10"/>
      <c r="H27" s="39"/>
      <c r="I27" s="39"/>
      <c r="J27" s="39"/>
      <c r="K27" s="39"/>
      <c r="L27" s="39"/>
      <c r="M27" s="39"/>
    </row>
    <row r="28" spans="1:13">
      <c r="A28" s="2" t="s">
        <v>349</v>
      </c>
      <c r="B28" s="2">
        <v>210</v>
      </c>
      <c r="C28" s="2">
        <v>28</v>
      </c>
      <c r="D28" s="39"/>
      <c r="E28" s="39"/>
      <c r="F28" s="39"/>
      <c r="G28" s="39"/>
      <c r="H28" s="39"/>
      <c r="I28" s="39"/>
      <c r="J28" s="39"/>
      <c r="K28" s="39"/>
      <c r="L28" s="39"/>
      <c r="M28" s="39"/>
    </row>
    <row r="29" spans="1:13">
      <c r="A29" s="2" t="s">
        <v>350</v>
      </c>
      <c r="B29" s="2">
        <v>130</v>
      </c>
      <c r="C29" s="2">
        <v>16</v>
      </c>
      <c r="D29" s="39"/>
      <c r="E29" s="39"/>
      <c r="F29" s="39"/>
      <c r="G29" s="39"/>
      <c r="H29" s="39"/>
      <c r="I29" s="39"/>
      <c r="J29" s="39"/>
      <c r="K29" s="39"/>
      <c r="L29" s="39"/>
      <c r="M29" s="39"/>
    </row>
    <row r="30" spans="1:13">
      <c r="A30" s="39"/>
      <c r="B30" s="39"/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39"/>
    </row>
    <row r="31" spans="1:13">
      <c r="A31" s="65" t="s">
        <v>351</v>
      </c>
      <c r="B31" s="65"/>
      <c r="C31" s="65"/>
      <c r="D31" s="65"/>
      <c r="E31" s="65"/>
      <c r="F31" s="65"/>
      <c r="G31" s="65"/>
      <c r="H31" s="65"/>
      <c r="I31" s="65"/>
      <c r="J31" s="65"/>
      <c r="K31" s="65"/>
      <c r="L31" s="65"/>
      <c r="M31" s="39"/>
    </row>
    <row r="32" spans="1:13">
      <c r="A32" s="65"/>
      <c r="B32" s="65"/>
      <c r="C32" s="65"/>
      <c r="D32" s="65"/>
      <c r="E32" s="65"/>
      <c r="F32" s="65"/>
      <c r="G32" s="65"/>
      <c r="H32" s="65"/>
      <c r="I32" s="65"/>
      <c r="J32" s="65"/>
      <c r="K32" s="65"/>
      <c r="L32" s="65"/>
      <c r="M32" s="39"/>
    </row>
    <row r="33" spans="1:13">
      <c r="A33" s="65"/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39"/>
    </row>
    <row r="34" spans="1:13">
      <c r="A34" s="39"/>
      <c r="B34" s="39"/>
      <c r="C34" s="39"/>
      <c r="D34" s="39"/>
      <c r="E34" s="39"/>
      <c r="F34" s="39"/>
      <c r="G34" s="39"/>
      <c r="H34" s="39"/>
      <c r="I34" s="39"/>
      <c r="J34" s="39"/>
      <c r="K34" s="39"/>
      <c r="L34" s="39"/>
      <c r="M34" s="39"/>
    </row>
    <row r="35" spans="1:13">
      <c r="A35" s="39"/>
      <c r="B35" s="39"/>
      <c r="C35" s="39"/>
      <c r="D35" s="39"/>
      <c r="E35" s="39"/>
      <c r="F35" s="39"/>
      <c r="G35" s="39"/>
      <c r="H35" s="39"/>
      <c r="I35" s="39"/>
      <c r="J35" s="39"/>
      <c r="K35" s="39"/>
      <c r="L35" s="39"/>
      <c r="M35" s="39"/>
    </row>
    <row r="36" spans="1:13">
      <c r="A36" s="39"/>
      <c r="B36" s="39"/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</row>
    <row r="37" spans="1:13">
      <c r="A37" s="39"/>
      <c r="B37" s="39"/>
      <c r="C37" s="39"/>
      <c r="D37" s="39"/>
      <c r="E37" s="39"/>
      <c r="F37" s="39"/>
      <c r="G37" s="39"/>
      <c r="H37" s="39"/>
      <c r="I37" s="39"/>
      <c r="J37" s="39"/>
      <c r="K37" s="39"/>
      <c r="L37" s="39"/>
      <c r="M37" s="39"/>
    </row>
    <row r="38" spans="1:13">
      <c r="A38" s="39"/>
      <c r="B38" s="39"/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</row>
    <row r="39" spans="1:13">
      <c r="A39" s="39"/>
      <c r="B39" s="39"/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</row>
    <row r="40" spans="1:13">
      <c r="A40" s="39"/>
      <c r="B40" s="39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</row>
    <row r="41" spans="1:13">
      <c r="A41" s="39"/>
      <c r="B41" s="39"/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</row>
    <row r="42" spans="1:13">
      <c r="A42" s="39"/>
      <c r="B42" s="39"/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</row>
    <row r="43" spans="1:13">
      <c r="A43" s="39"/>
      <c r="B43" s="39"/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39"/>
    </row>
    <row r="44" spans="1:13">
      <c r="A44" s="39"/>
      <c r="B44" s="39"/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</row>
    <row r="45" spans="1:13">
      <c r="A45" s="39"/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</row>
    <row r="46" spans="1:13">
      <c r="A46" s="39"/>
      <c r="B46" s="39"/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</row>
    <row r="47" spans="1:13">
      <c r="A47" s="39"/>
      <c r="B47" s="39"/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</row>
    <row r="48" spans="1:13">
      <c r="A48" s="39"/>
      <c r="B48" s="39"/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</row>
    <row r="49" spans="1:13">
      <c r="A49" s="39"/>
      <c r="B49" s="39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</row>
    <row r="50" spans="1:13">
      <c r="A50" s="39"/>
      <c r="B50" s="39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</row>
    <row r="51" spans="1:13">
      <c r="A51" s="39"/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39"/>
      <c r="M51" s="39"/>
    </row>
    <row r="52" spans="1:13">
      <c r="A52" s="39"/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39"/>
    </row>
    <row r="53" spans="1:13">
      <c r="A53" s="39"/>
      <c r="B53" s="39"/>
      <c r="C53" s="39"/>
      <c r="D53" s="39"/>
      <c r="E53" s="39"/>
      <c r="F53" s="39"/>
      <c r="G53" s="39"/>
      <c r="H53" s="39"/>
      <c r="I53" s="39"/>
      <c r="J53" s="39"/>
      <c r="K53" s="39"/>
      <c r="L53" s="39"/>
      <c r="M53" s="39"/>
    </row>
    <row r="54" spans="1:13">
      <c r="A54" s="39"/>
      <c r="B54" s="39"/>
      <c r="C54" s="39"/>
      <c r="D54" s="39"/>
      <c r="E54" s="39"/>
      <c r="F54" s="39"/>
      <c r="G54" s="39"/>
      <c r="H54" s="39"/>
      <c r="I54" s="39"/>
      <c r="J54" s="39"/>
      <c r="K54" s="39"/>
      <c r="L54" s="39"/>
      <c r="M54" s="39"/>
    </row>
    <row r="55" spans="1:13">
      <c r="A55" s="39"/>
      <c r="B55" s="39"/>
      <c r="C55" s="39"/>
      <c r="D55" s="39"/>
      <c r="E55" s="39"/>
      <c r="F55" s="39"/>
      <c r="G55" s="39"/>
      <c r="H55" s="39"/>
      <c r="I55" s="39"/>
      <c r="J55" s="39"/>
      <c r="K55" s="39"/>
      <c r="L55" s="39"/>
      <c r="M55" s="39"/>
    </row>
    <row r="56" spans="1:13">
      <c r="A56" s="39"/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</row>
    <row r="57" spans="1:13">
      <c r="A57" s="39"/>
      <c r="B57" s="39"/>
      <c r="C57" s="39"/>
      <c r="D57" s="39"/>
      <c r="E57" s="39"/>
      <c r="F57" s="39"/>
      <c r="G57" s="39"/>
      <c r="H57" s="39"/>
      <c r="I57" s="39"/>
      <c r="J57" s="39"/>
      <c r="K57" s="39"/>
      <c r="L57" s="39"/>
      <c r="M57" s="39"/>
    </row>
    <row r="58" spans="1:13">
      <c r="A58" s="39"/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39"/>
    </row>
    <row r="59" spans="1:13">
      <c r="A59" s="39"/>
      <c r="B59" s="39"/>
      <c r="C59" s="39"/>
      <c r="D59" s="39"/>
      <c r="E59" s="39"/>
      <c r="F59" s="39"/>
      <c r="G59" s="39"/>
      <c r="H59" s="39"/>
      <c r="I59" s="39"/>
      <c r="J59" s="39"/>
      <c r="K59" s="39"/>
      <c r="L59" s="39"/>
      <c r="M59" s="39"/>
    </row>
    <row r="60" spans="1:13">
      <c r="A60" s="39"/>
      <c r="B60" s="39"/>
      <c r="C60" s="39"/>
      <c r="D60" s="39"/>
      <c r="E60" s="39"/>
      <c r="F60" s="39"/>
      <c r="G60" s="39"/>
      <c r="H60" s="39"/>
      <c r="I60" s="39"/>
      <c r="J60" s="39"/>
      <c r="K60" s="39"/>
      <c r="L60" s="39"/>
      <c r="M60" s="39"/>
    </row>
    <row r="61" spans="1:13">
      <c r="A61" s="39"/>
      <c r="B61" s="39"/>
      <c r="C61" s="39"/>
      <c r="D61" s="39"/>
      <c r="E61" s="39"/>
      <c r="F61" s="39"/>
      <c r="G61" s="39"/>
      <c r="H61" s="39"/>
      <c r="I61" s="39"/>
      <c r="J61" s="39"/>
      <c r="K61" s="39"/>
      <c r="L61" s="39"/>
      <c r="M61" s="39"/>
    </row>
    <row r="62" spans="1:13">
      <c r="A62" s="39"/>
      <c r="B62" s="39"/>
      <c r="C62" s="39"/>
      <c r="D62" s="39"/>
      <c r="E62" s="39"/>
      <c r="F62" s="39"/>
      <c r="G62" s="39"/>
      <c r="H62" s="39"/>
      <c r="I62" s="39"/>
      <c r="J62" s="39"/>
      <c r="K62" s="39"/>
      <c r="L62" s="39"/>
      <c r="M62" s="39"/>
    </row>
    <row r="63" spans="1:13">
      <c r="A63" s="39"/>
      <c r="B63" s="39"/>
      <c r="C63" s="39"/>
      <c r="D63" s="39"/>
      <c r="E63" s="39"/>
      <c r="F63" s="39"/>
      <c r="G63" s="39"/>
      <c r="H63" s="39"/>
      <c r="I63" s="39"/>
      <c r="J63" s="39"/>
      <c r="K63" s="39"/>
      <c r="L63" s="39"/>
      <c r="M63" s="39"/>
    </row>
    <row r="64" spans="1:13">
      <c r="A64" s="39"/>
      <c r="B64" s="39"/>
      <c r="C64" s="39"/>
      <c r="D64" s="39"/>
      <c r="E64" s="39"/>
      <c r="F64" s="39"/>
      <c r="G64" s="39"/>
      <c r="H64" s="39"/>
      <c r="I64" s="39"/>
      <c r="J64" s="39"/>
      <c r="K64" s="39"/>
      <c r="L64" s="39"/>
      <c r="M64" s="39"/>
    </row>
    <row r="65" spans="1:13">
      <c r="A65" s="39"/>
      <c r="B65" s="39"/>
      <c r="C65" s="39"/>
      <c r="D65" s="39"/>
      <c r="E65" s="39"/>
      <c r="F65" s="39"/>
      <c r="G65" s="39"/>
      <c r="H65" s="39"/>
      <c r="I65" s="39"/>
      <c r="J65" s="39"/>
      <c r="K65" s="39"/>
      <c r="L65" s="39"/>
      <c r="M65" s="39"/>
    </row>
    <row r="66" spans="1:13">
      <c r="A66" s="39"/>
      <c r="B66" s="39"/>
      <c r="C66" s="39"/>
      <c r="D66" s="39"/>
      <c r="E66" s="39"/>
      <c r="F66" s="39"/>
      <c r="G66" s="39"/>
      <c r="H66" s="39"/>
      <c r="I66" s="39"/>
      <c r="J66" s="39"/>
      <c r="K66" s="39"/>
      <c r="L66" s="39"/>
      <c r="M66" s="39"/>
    </row>
    <row r="67" spans="1:13">
      <c r="A67" s="39"/>
      <c r="B67" s="39"/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</row>
    <row r="68" spans="1:13">
      <c r="A68" s="39"/>
      <c r="B68" s="39"/>
      <c r="C68" s="39"/>
      <c r="D68" s="39"/>
      <c r="E68" s="39"/>
      <c r="F68" s="39"/>
      <c r="G68" s="39"/>
      <c r="H68" s="39"/>
      <c r="I68" s="39"/>
      <c r="J68" s="39"/>
      <c r="K68" s="39"/>
      <c r="L68" s="39"/>
      <c r="M68" s="39"/>
    </row>
    <row r="69" spans="1:13">
      <c r="A69" s="39"/>
      <c r="B69" s="39"/>
      <c r="C69" s="39"/>
      <c r="D69" s="39"/>
      <c r="E69" s="39"/>
      <c r="F69" s="39"/>
      <c r="G69" s="39"/>
      <c r="H69" s="39"/>
      <c r="I69" s="39"/>
      <c r="J69" s="39"/>
      <c r="K69" s="39"/>
      <c r="L69" s="39"/>
      <c r="M69" s="39"/>
    </row>
    <row r="70" spans="1:13">
      <c r="A70" s="39"/>
      <c r="B70" s="39"/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</row>
  </sheetData>
  <mergeCells count="18">
    <mergeCell ref="A21:L21"/>
    <mergeCell ref="A31:L33"/>
    <mergeCell ref="C8:F8"/>
    <mergeCell ref="C9:F9"/>
    <mergeCell ref="C10:F10"/>
    <mergeCell ref="A12:F12"/>
    <mergeCell ref="H5:L5"/>
    <mergeCell ref="K6:L6"/>
    <mergeCell ref="K7:L7"/>
    <mergeCell ref="K8:L8"/>
    <mergeCell ref="K9:L9"/>
    <mergeCell ref="K10:L10"/>
    <mergeCell ref="K11:L11"/>
    <mergeCell ref="A1:L2"/>
    <mergeCell ref="A3:L3"/>
    <mergeCell ref="A5:F5"/>
    <mergeCell ref="C6:F6"/>
    <mergeCell ref="C7:F7"/>
  </mergeCells>
  <printOptions horizontalCentered="1"/>
  <pageMargins left="0.25" right="0.25" top="0.5" bottom="0.5" header="0.2" footer="0.2"/>
  <pageSetup paperSize="9" scale="64" fitToHeight="0" orientation="landscape" horizontalDpi="300" verticalDpi="300" r:id="rId1"/>
  <headerFooter>
    <oddFooter>&amp;LGuía Excel básico&amp;C&amp;P de &amp;N&amp;R&amp;D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autoPageBreaks="0" fitToPage="1"/>
  </sheetPr>
  <dimension ref="A1:M70"/>
  <sheetViews>
    <sheetView topLeftCell="A13" workbookViewId="0">
      <selection activeCell="D24" sqref="D24"/>
    </sheetView>
  </sheetViews>
  <sheetFormatPr baseColWidth="10" defaultColWidth="8.6640625" defaultRowHeight="14"/>
  <cols>
    <col min="1" max="1" width="18" customWidth="1"/>
    <col min="2" max="3" width="16" customWidth="1"/>
    <col min="4" max="4" width="18" customWidth="1"/>
    <col min="5" max="5" width="19" customWidth="1"/>
    <col min="6" max="6" width="5" customWidth="1"/>
    <col min="7" max="7" width="18" customWidth="1"/>
    <col min="8" max="8" width="20" customWidth="1"/>
    <col min="9" max="9" width="22" customWidth="1"/>
    <col min="10" max="10" width="24" customWidth="1"/>
  </cols>
  <sheetData>
    <row r="1" spans="1:13" ht="16.649999999999999" customHeight="1">
      <c r="A1" s="46" t="s">
        <v>352</v>
      </c>
      <c r="B1" s="47"/>
      <c r="C1" s="47"/>
      <c r="D1" s="47"/>
      <c r="E1" s="47"/>
      <c r="F1" s="47"/>
      <c r="G1" s="47"/>
      <c r="H1" s="47"/>
      <c r="I1" s="47"/>
      <c r="J1" s="48"/>
      <c r="K1" s="39"/>
      <c r="L1" s="39"/>
      <c r="M1" s="39"/>
    </row>
    <row r="2" spans="1:13" ht="16.649999999999999" customHeight="1">
      <c r="A2" s="49"/>
      <c r="B2" s="50"/>
      <c r="C2" s="50"/>
      <c r="D2" s="50"/>
      <c r="E2" s="50"/>
      <c r="F2" s="50"/>
      <c r="G2" s="50"/>
      <c r="H2" s="50"/>
      <c r="I2" s="50"/>
      <c r="J2" s="51"/>
      <c r="K2" s="39"/>
      <c r="L2" s="39"/>
      <c r="M2" s="39"/>
    </row>
    <row r="3" spans="1:13" ht="20" customHeight="1">
      <c r="A3" s="52" t="s">
        <v>353</v>
      </c>
      <c r="B3" s="53"/>
      <c r="C3" s="53"/>
      <c r="D3" s="53"/>
      <c r="E3" s="53"/>
      <c r="F3" s="53"/>
      <c r="G3" s="53"/>
      <c r="H3" s="53"/>
      <c r="I3" s="53"/>
      <c r="J3" s="54"/>
      <c r="K3" s="39"/>
      <c r="L3" s="39"/>
      <c r="M3" s="39"/>
    </row>
    <row r="4" spans="1:13">
      <c r="A4" s="39"/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</row>
    <row r="5" spans="1:13" ht="16" customHeight="1">
      <c r="A5" s="80" t="s">
        <v>354</v>
      </c>
      <c r="B5" s="81"/>
      <c r="C5" s="81"/>
      <c r="D5" s="81"/>
      <c r="E5" s="81"/>
      <c r="F5" s="81"/>
      <c r="G5" s="81"/>
      <c r="H5" s="97"/>
      <c r="I5" s="97"/>
      <c r="J5" s="98"/>
      <c r="K5" s="39"/>
      <c r="L5" s="39"/>
      <c r="M5" s="39"/>
    </row>
    <row r="6" spans="1:13" ht="29">
      <c r="A6" s="1" t="s">
        <v>355</v>
      </c>
      <c r="B6" s="1" t="s">
        <v>113</v>
      </c>
      <c r="C6" s="1" t="s">
        <v>356</v>
      </c>
      <c r="D6" s="89" t="s">
        <v>357</v>
      </c>
      <c r="E6" s="90"/>
      <c r="F6" s="90"/>
      <c r="G6" s="90"/>
      <c r="H6" s="91"/>
      <c r="I6" s="91"/>
      <c r="J6" s="91"/>
      <c r="K6" s="39"/>
      <c r="L6" s="39"/>
      <c r="M6" s="39"/>
    </row>
    <row r="7" spans="1:13" ht="26">
      <c r="A7" s="7" t="s">
        <v>358</v>
      </c>
      <c r="B7" s="7" t="s">
        <v>359</v>
      </c>
      <c r="C7" s="7" t="s">
        <v>360</v>
      </c>
      <c r="D7" s="92" t="s">
        <v>361</v>
      </c>
      <c r="E7" s="93"/>
      <c r="F7" s="93"/>
      <c r="G7" s="94"/>
      <c r="H7" s="95"/>
      <c r="I7" s="95"/>
      <c r="J7" s="95"/>
      <c r="K7" s="39"/>
      <c r="L7" s="39"/>
      <c r="M7" s="39"/>
    </row>
    <row r="8" spans="1:13" ht="26" customHeight="1">
      <c r="A8" s="7" t="s">
        <v>362</v>
      </c>
      <c r="B8" s="7" t="s">
        <v>363</v>
      </c>
      <c r="C8" s="7" t="s">
        <v>364</v>
      </c>
      <c r="D8" s="92" t="s">
        <v>365</v>
      </c>
      <c r="E8" s="93"/>
      <c r="F8" s="93"/>
      <c r="G8" s="94"/>
      <c r="H8" s="96"/>
      <c r="I8" s="96"/>
      <c r="J8" s="96"/>
      <c r="K8" s="39"/>
      <c r="L8" s="39"/>
      <c r="M8" s="39"/>
    </row>
    <row r="9" spans="1:13" ht="26" customHeight="1">
      <c r="A9" s="7" t="s">
        <v>366</v>
      </c>
      <c r="B9" s="7" t="s">
        <v>367</v>
      </c>
      <c r="C9" s="7" t="s">
        <v>368</v>
      </c>
      <c r="D9" s="92" t="s">
        <v>369</v>
      </c>
      <c r="E9" s="93"/>
      <c r="F9" s="93"/>
      <c r="G9" s="94"/>
      <c r="H9" s="99"/>
      <c r="I9" s="96"/>
      <c r="J9" s="96"/>
      <c r="K9" s="39"/>
      <c r="L9" s="39"/>
      <c r="M9" s="39"/>
    </row>
    <row r="10" spans="1:13">
      <c r="A10" s="39"/>
      <c r="B10" s="39"/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</row>
    <row r="11" spans="1:13" ht="14.5">
      <c r="A11" s="1" t="s">
        <v>370</v>
      </c>
      <c r="B11" s="1" t="s">
        <v>44</v>
      </c>
      <c r="E11" s="39"/>
      <c r="F11" s="39"/>
      <c r="G11" s="39"/>
      <c r="H11" s="39"/>
      <c r="I11" s="39"/>
      <c r="J11" s="39"/>
      <c r="K11" s="39"/>
      <c r="L11" s="39"/>
      <c r="M11" s="39"/>
    </row>
    <row r="12" spans="1:13" ht="26">
      <c r="A12" s="12">
        <v>0.21</v>
      </c>
      <c r="B12" s="9" t="s">
        <v>371</v>
      </c>
      <c r="E12" s="39"/>
      <c r="F12" s="39"/>
      <c r="G12" s="39"/>
      <c r="H12" s="39"/>
      <c r="I12" s="39"/>
      <c r="J12" s="39"/>
      <c r="K12" s="39"/>
      <c r="L12" s="39"/>
      <c r="M12" s="39"/>
    </row>
    <row r="13" spans="1:13">
      <c r="A13" s="39"/>
      <c r="B13" s="39"/>
      <c r="C13" s="39"/>
      <c r="D13" s="39"/>
      <c r="E13" s="39"/>
      <c r="F13" s="39"/>
      <c r="G13" s="39"/>
      <c r="H13" s="39"/>
      <c r="I13" s="39"/>
      <c r="J13" s="39"/>
      <c r="K13" s="39"/>
      <c r="L13" s="39"/>
      <c r="M13" s="39"/>
    </row>
    <row r="14" spans="1:13" ht="16" customHeight="1">
      <c r="A14" s="55" t="s">
        <v>372</v>
      </c>
      <c r="B14" s="56"/>
      <c r="C14" s="56"/>
      <c r="D14" s="56"/>
      <c r="E14" s="57"/>
      <c r="F14" s="39"/>
      <c r="G14" s="66" t="s">
        <v>373</v>
      </c>
      <c r="H14" s="67"/>
      <c r="I14" s="67"/>
      <c r="J14" s="68"/>
      <c r="K14" s="39"/>
      <c r="L14" s="39"/>
      <c r="M14" s="39"/>
    </row>
    <row r="15" spans="1:13" ht="14.5">
      <c r="A15" s="1" t="s">
        <v>185</v>
      </c>
      <c r="B15" s="1" t="s">
        <v>374</v>
      </c>
      <c r="C15" s="1" t="s">
        <v>186</v>
      </c>
      <c r="D15" s="1" t="s">
        <v>375</v>
      </c>
      <c r="E15" s="1" t="s">
        <v>376</v>
      </c>
      <c r="F15" s="39"/>
      <c r="G15" s="58" t="s">
        <v>377</v>
      </c>
      <c r="H15" s="58"/>
      <c r="I15" s="58"/>
      <c r="J15" s="58"/>
      <c r="K15" s="39"/>
      <c r="L15" s="39"/>
      <c r="M15" s="39"/>
    </row>
    <row r="16" spans="1:13">
      <c r="A16" s="9" t="s">
        <v>378</v>
      </c>
      <c r="B16" s="20">
        <v>165000</v>
      </c>
      <c r="C16" s="9">
        <v>1</v>
      </c>
      <c r="D16" s="20">
        <f>B16*C16</f>
        <v>165000</v>
      </c>
      <c r="E16" s="20">
        <f>D16*(1+$A$12)</f>
        <v>199650</v>
      </c>
      <c r="F16" s="39"/>
      <c r="G16" s="58"/>
      <c r="H16" s="58"/>
      <c r="I16" s="58"/>
      <c r="J16" s="58"/>
      <c r="K16" s="39"/>
      <c r="L16" s="39"/>
      <c r="M16" s="39"/>
    </row>
    <row r="17" spans="1:13">
      <c r="A17" s="9" t="s">
        <v>193</v>
      </c>
      <c r="B17" s="20">
        <v>28500</v>
      </c>
      <c r="C17" s="9">
        <v>2</v>
      </c>
      <c r="D17" s="20">
        <f>B17*C17</f>
        <v>57000</v>
      </c>
      <c r="E17" s="20">
        <f>D17*(1+$A$12)</f>
        <v>68970</v>
      </c>
      <c r="F17" s="39"/>
      <c r="G17" s="58"/>
      <c r="H17" s="58"/>
      <c r="I17" s="58"/>
      <c r="J17" s="58"/>
      <c r="K17" s="39"/>
      <c r="L17" s="39"/>
      <c r="M17" s="39"/>
    </row>
    <row r="18" spans="1:13">
      <c r="A18" s="9" t="s">
        <v>196</v>
      </c>
      <c r="B18" s="20">
        <v>17500</v>
      </c>
      <c r="C18" s="9">
        <v>3</v>
      </c>
      <c r="D18" s="20">
        <f>B18*C18</f>
        <v>52500</v>
      </c>
      <c r="E18" s="20">
        <f>D18*(1+$A$12)</f>
        <v>63525</v>
      </c>
      <c r="F18" s="39"/>
      <c r="G18" s="58"/>
      <c r="H18" s="58"/>
      <c r="I18" s="58"/>
      <c r="J18" s="58"/>
      <c r="K18" s="39"/>
      <c r="L18" s="39"/>
      <c r="M18" s="39"/>
    </row>
    <row r="19" spans="1:13">
      <c r="A19" s="9" t="s">
        <v>198</v>
      </c>
      <c r="B19" s="20">
        <v>55000</v>
      </c>
      <c r="C19" s="9">
        <v>1</v>
      </c>
      <c r="D19" s="20">
        <f>B19*C19</f>
        <v>55000</v>
      </c>
      <c r="E19" s="20">
        <f>D19*(1+$A$12)</f>
        <v>66550</v>
      </c>
      <c r="F19" s="39"/>
      <c r="G19" s="58"/>
      <c r="H19" s="58"/>
      <c r="I19" s="58"/>
      <c r="J19" s="58"/>
      <c r="K19" s="39"/>
      <c r="L19" s="39"/>
      <c r="M19" s="39"/>
    </row>
    <row r="20" spans="1:13">
      <c r="A20" s="9" t="s">
        <v>200</v>
      </c>
      <c r="B20" s="20">
        <v>72000</v>
      </c>
      <c r="C20" s="9">
        <v>2</v>
      </c>
      <c r="D20" s="20">
        <f>B20*C20</f>
        <v>144000</v>
      </c>
      <c r="E20" s="20">
        <f>D20*(1+$A$12)</f>
        <v>174240</v>
      </c>
      <c r="F20" s="39"/>
      <c r="G20" s="58"/>
      <c r="H20" s="58"/>
      <c r="I20" s="58"/>
      <c r="J20" s="58"/>
      <c r="K20" s="39"/>
      <c r="L20" s="39"/>
      <c r="M20" s="39"/>
    </row>
    <row r="21" spans="1:13">
      <c r="A21" s="39"/>
      <c r="B21" s="39"/>
      <c r="C21" s="39"/>
      <c r="D21" s="39"/>
      <c r="E21" s="39"/>
      <c r="F21" s="39"/>
      <c r="G21" s="39"/>
      <c r="H21" s="39"/>
      <c r="I21" s="39"/>
      <c r="J21" s="39"/>
      <c r="K21" s="39"/>
      <c r="L21" s="39"/>
      <c r="M21" s="39"/>
    </row>
    <row r="22" spans="1:13">
      <c r="A22" s="39"/>
      <c r="B22" s="39"/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</row>
    <row r="23" spans="1:13" ht="16" customHeight="1">
      <c r="A23" s="80" t="s">
        <v>379</v>
      </c>
      <c r="B23" s="81"/>
      <c r="C23" s="100"/>
      <c r="D23" s="100"/>
      <c r="E23" s="100"/>
      <c r="F23" s="100"/>
      <c r="G23" s="100"/>
      <c r="H23" s="100"/>
      <c r="I23" s="100"/>
      <c r="J23" s="100"/>
      <c r="K23" s="39"/>
      <c r="L23" s="39"/>
      <c r="M23" s="39"/>
    </row>
    <row r="24" spans="1:13" ht="14.5">
      <c r="A24" s="1" t="s">
        <v>380</v>
      </c>
      <c r="B24" s="12">
        <v>0.1</v>
      </c>
      <c r="C24" s="39"/>
      <c r="D24" s="39"/>
      <c r="E24" s="39"/>
      <c r="F24" s="39"/>
      <c r="G24" s="39"/>
      <c r="H24" s="39"/>
      <c r="I24" s="39"/>
      <c r="J24" s="39"/>
      <c r="K24" s="39"/>
      <c r="L24" s="39"/>
      <c r="M24" s="39"/>
    </row>
    <row r="25" spans="1:13" ht="14.5">
      <c r="A25" s="1" t="s">
        <v>381</v>
      </c>
      <c r="B25" s="9" t="s">
        <v>382</v>
      </c>
      <c r="C25" s="39"/>
      <c r="D25" s="39"/>
      <c r="E25" s="39"/>
      <c r="F25" s="39"/>
      <c r="G25" s="39"/>
      <c r="H25" s="39"/>
      <c r="I25" s="39"/>
      <c r="J25" s="39"/>
      <c r="K25" s="39"/>
      <c r="L25" s="39"/>
      <c r="M25" s="39"/>
    </row>
    <row r="26" spans="1:13">
      <c r="A26" s="39"/>
      <c r="B26" s="39"/>
      <c r="C26" s="39"/>
      <c r="D26" s="39"/>
      <c r="E26" s="39"/>
      <c r="F26" s="39"/>
      <c r="G26" s="39"/>
      <c r="H26" s="39"/>
      <c r="I26" s="39"/>
      <c r="J26" s="39"/>
      <c r="K26" s="39"/>
      <c r="L26" s="39"/>
      <c r="M26" s="39"/>
    </row>
    <row r="27" spans="1:13" ht="29">
      <c r="A27" s="1" t="s">
        <v>185</v>
      </c>
      <c r="B27" s="1" t="s">
        <v>383</v>
      </c>
      <c r="C27" s="1" t="s">
        <v>384</v>
      </c>
      <c r="D27" s="1" t="s">
        <v>43</v>
      </c>
      <c r="E27" s="39"/>
      <c r="F27" s="39"/>
      <c r="G27" s="39"/>
      <c r="H27" s="39"/>
      <c r="I27" s="39"/>
      <c r="J27" s="39"/>
      <c r="K27" s="39"/>
      <c r="L27" s="39"/>
      <c r="M27" s="39"/>
    </row>
    <row r="28" spans="1:13" ht="39">
      <c r="A28" s="2" t="s">
        <v>385</v>
      </c>
      <c r="B28" s="21">
        <v>85000</v>
      </c>
      <c r="C28" s="9"/>
      <c r="D28" s="7" t="s">
        <v>386</v>
      </c>
      <c r="E28" s="39"/>
      <c r="F28" s="39"/>
      <c r="G28" s="39"/>
      <c r="H28" s="39"/>
      <c r="I28" s="39"/>
      <c r="J28" s="39"/>
      <c r="K28" s="39"/>
      <c r="L28" s="39"/>
      <c r="M28" s="39"/>
    </row>
    <row r="29" spans="1:13">
      <c r="A29" s="2" t="s">
        <v>387</v>
      </c>
      <c r="B29" s="21">
        <v>145000</v>
      </c>
      <c r="C29" s="22"/>
      <c r="D29" s="7"/>
      <c r="E29" s="39"/>
      <c r="F29" s="39"/>
      <c r="G29" s="39"/>
      <c r="H29" s="39"/>
      <c r="I29" s="39"/>
      <c r="J29" s="39"/>
      <c r="K29" s="39"/>
      <c r="L29" s="39"/>
      <c r="M29" s="39"/>
    </row>
    <row r="30" spans="1:13">
      <c r="A30" s="2" t="s">
        <v>388</v>
      </c>
      <c r="B30" s="21">
        <v>32000</v>
      </c>
      <c r="C30" s="22"/>
      <c r="D30" s="7"/>
      <c r="E30" s="39"/>
      <c r="F30" s="39"/>
      <c r="G30" s="39"/>
      <c r="H30" s="39"/>
      <c r="I30" s="39"/>
      <c r="J30" s="39"/>
      <c r="K30" s="39"/>
      <c r="L30" s="39"/>
      <c r="M30" s="39"/>
    </row>
    <row r="31" spans="1:13">
      <c r="A31" s="2" t="s">
        <v>389</v>
      </c>
      <c r="B31" s="21">
        <v>99000</v>
      </c>
      <c r="C31" s="22"/>
      <c r="D31" s="7"/>
      <c r="E31" s="39"/>
      <c r="F31" s="39"/>
      <c r="G31" s="39"/>
      <c r="H31" s="39"/>
      <c r="I31" s="39"/>
      <c r="J31" s="39"/>
      <c r="K31" s="39"/>
      <c r="L31" s="39"/>
      <c r="M31" s="39"/>
    </row>
    <row r="32" spans="1:13">
      <c r="A32" s="2" t="s">
        <v>390</v>
      </c>
      <c r="B32" s="21">
        <v>18500</v>
      </c>
      <c r="C32" s="22"/>
      <c r="D32" s="7"/>
      <c r="E32" s="39"/>
      <c r="F32" s="39"/>
      <c r="G32" s="39"/>
      <c r="H32" s="39"/>
      <c r="I32" s="39"/>
      <c r="J32" s="39"/>
      <c r="K32" s="39"/>
      <c r="L32" s="39"/>
      <c r="M32" s="39"/>
    </row>
    <row r="33" spans="1:13">
      <c r="A33" s="2" t="s">
        <v>391</v>
      </c>
      <c r="B33" s="21">
        <v>57000</v>
      </c>
      <c r="C33" s="22"/>
      <c r="D33" s="7"/>
      <c r="E33" s="39"/>
      <c r="F33" s="39"/>
      <c r="G33" s="39"/>
      <c r="H33" s="39"/>
      <c r="I33" s="39"/>
      <c r="J33" s="39"/>
      <c r="K33" s="39"/>
      <c r="L33" s="39"/>
      <c r="M33" s="39"/>
    </row>
    <row r="34" spans="1:13">
      <c r="A34" s="39"/>
      <c r="B34" s="39"/>
      <c r="C34" s="39"/>
      <c r="D34" s="39"/>
      <c r="E34" s="39"/>
      <c r="F34" s="39"/>
      <c r="G34" s="39"/>
      <c r="H34" s="39"/>
      <c r="I34" s="39"/>
      <c r="J34" s="39"/>
      <c r="K34" s="39"/>
      <c r="L34" s="39"/>
      <c r="M34" s="39"/>
    </row>
    <row r="35" spans="1:13">
      <c r="A35" s="58" t="s">
        <v>392</v>
      </c>
      <c r="B35" s="58"/>
      <c r="C35" s="58"/>
      <c r="D35" s="58"/>
      <c r="E35" s="58"/>
      <c r="F35" s="58"/>
      <c r="G35" s="58"/>
      <c r="H35" s="58"/>
      <c r="I35" s="58"/>
      <c r="J35" s="58"/>
      <c r="K35" s="39"/>
      <c r="L35" s="39"/>
      <c r="M35" s="39"/>
    </row>
    <row r="36" spans="1:13">
      <c r="A36" s="58"/>
      <c r="B36" s="58"/>
      <c r="C36" s="58"/>
      <c r="D36" s="58"/>
      <c r="E36" s="58"/>
      <c r="F36" s="58"/>
      <c r="G36" s="58"/>
      <c r="H36" s="58"/>
      <c r="I36" s="58"/>
      <c r="J36" s="58"/>
      <c r="K36" s="39"/>
      <c r="L36" s="39"/>
      <c r="M36" s="39"/>
    </row>
    <row r="37" spans="1:13">
      <c r="A37" s="58"/>
      <c r="B37" s="58"/>
      <c r="C37" s="58"/>
      <c r="D37" s="58"/>
      <c r="E37" s="58"/>
      <c r="F37" s="58"/>
      <c r="G37" s="58"/>
      <c r="H37" s="58"/>
      <c r="I37" s="58"/>
      <c r="J37" s="58"/>
      <c r="K37" s="39"/>
      <c r="L37" s="39"/>
      <c r="M37" s="39"/>
    </row>
    <row r="38" spans="1:13">
      <c r="A38" s="39"/>
      <c r="B38" s="39"/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</row>
    <row r="39" spans="1:13">
      <c r="A39" s="39"/>
      <c r="B39" s="39"/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</row>
    <row r="40" spans="1:13">
      <c r="A40" s="39"/>
      <c r="B40" s="39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</row>
    <row r="41" spans="1:13">
      <c r="A41" s="39"/>
      <c r="B41" s="39"/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</row>
    <row r="42" spans="1:13">
      <c r="A42" s="39"/>
      <c r="B42" s="39"/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</row>
    <row r="43" spans="1:13">
      <c r="A43" s="39"/>
      <c r="B43" s="39"/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39"/>
    </row>
    <row r="44" spans="1:13">
      <c r="A44" s="39"/>
      <c r="B44" s="39"/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</row>
    <row r="45" spans="1:13">
      <c r="A45" s="39"/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</row>
    <row r="46" spans="1:13">
      <c r="A46" s="39"/>
      <c r="B46" s="39"/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</row>
    <row r="47" spans="1:13">
      <c r="A47" s="39"/>
      <c r="B47" s="39"/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</row>
    <row r="48" spans="1:13">
      <c r="A48" s="39"/>
      <c r="B48" s="39"/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</row>
    <row r="49" spans="1:13">
      <c r="A49" s="39"/>
      <c r="B49" s="39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</row>
    <row r="50" spans="1:13">
      <c r="A50" s="39"/>
      <c r="B50" s="39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</row>
    <row r="51" spans="1:13">
      <c r="A51" s="39"/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39"/>
      <c r="M51" s="39"/>
    </row>
    <row r="52" spans="1:13">
      <c r="A52" s="39"/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39"/>
    </row>
    <row r="53" spans="1:13">
      <c r="A53" s="39"/>
      <c r="B53" s="39"/>
      <c r="C53" s="39"/>
      <c r="D53" s="39"/>
      <c r="E53" s="39"/>
      <c r="F53" s="39"/>
      <c r="G53" s="39"/>
      <c r="H53" s="39"/>
      <c r="I53" s="39"/>
      <c r="J53" s="39"/>
      <c r="K53" s="39"/>
      <c r="L53" s="39"/>
      <c r="M53" s="39"/>
    </row>
    <row r="54" spans="1:13">
      <c r="A54" s="39"/>
      <c r="B54" s="39"/>
      <c r="C54" s="39"/>
      <c r="D54" s="39"/>
      <c r="E54" s="39"/>
      <c r="F54" s="39"/>
      <c r="G54" s="39"/>
      <c r="H54" s="39"/>
      <c r="I54" s="39"/>
      <c r="J54" s="39"/>
      <c r="K54" s="39"/>
      <c r="L54" s="39"/>
      <c r="M54" s="39"/>
    </row>
    <row r="55" spans="1:13">
      <c r="A55" s="39"/>
      <c r="B55" s="39"/>
      <c r="C55" s="39"/>
      <c r="D55" s="39"/>
      <c r="E55" s="39"/>
      <c r="F55" s="39"/>
      <c r="G55" s="39"/>
      <c r="H55" s="39"/>
      <c r="I55" s="39"/>
      <c r="J55" s="39"/>
      <c r="K55" s="39"/>
      <c r="L55" s="39"/>
      <c r="M55" s="39"/>
    </row>
    <row r="56" spans="1:13">
      <c r="A56" s="39"/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</row>
    <row r="57" spans="1:13">
      <c r="A57" s="39"/>
      <c r="B57" s="39"/>
      <c r="C57" s="39"/>
      <c r="D57" s="39"/>
      <c r="E57" s="39"/>
      <c r="F57" s="39"/>
      <c r="G57" s="39"/>
      <c r="H57" s="39"/>
      <c r="I57" s="39"/>
      <c r="J57" s="39"/>
      <c r="K57" s="39"/>
      <c r="L57" s="39"/>
      <c r="M57" s="39"/>
    </row>
    <row r="58" spans="1:13">
      <c r="A58" s="39"/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39"/>
    </row>
    <row r="59" spans="1:13">
      <c r="A59" s="39"/>
      <c r="B59" s="39"/>
      <c r="C59" s="39"/>
      <c r="D59" s="39"/>
      <c r="E59" s="39"/>
      <c r="F59" s="39"/>
      <c r="G59" s="39"/>
      <c r="H59" s="39"/>
      <c r="I59" s="39"/>
      <c r="J59" s="39"/>
      <c r="K59" s="39"/>
      <c r="L59" s="39"/>
      <c r="M59" s="39"/>
    </row>
    <row r="60" spans="1:13">
      <c r="A60" s="39"/>
      <c r="B60" s="39"/>
      <c r="C60" s="39"/>
      <c r="D60" s="39"/>
      <c r="E60" s="39"/>
      <c r="F60" s="39"/>
      <c r="G60" s="39"/>
      <c r="H60" s="39"/>
      <c r="I60" s="39"/>
      <c r="J60" s="39"/>
      <c r="K60" s="39"/>
      <c r="L60" s="39"/>
      <c r="M60" s="39"/>
    </row>
    <row r="61" spans="1:13">
      <c r="A61" s="39"/>
      <c r="B61" s="39"/>
      <c r="C61" s="39"/>
      <c r="D61" s="39"/>
      <c r="E61" s="39"/>
      <c r="F61" s="39"/>
      <c r="G61" s="39"/>
      <c r="H61" s="39"/>
      <c r="I61" s="39"/>
      <c r="J61" s="39"/>
      <c r="K61" s="39"/>
      <c r="L61" s="39"/>
      <c r="M61" s="39"/>
    </row>
    <row r="62" spans="1:13">
      <c r="A62" s="39"/>
      <c r="B62" s="39"/>
      <c r="C62" s="39"/>
      <c r="D62" s="39"/>
      <c r="E62" s="39"/>
      <c r="F62" s="39"/>
      <c r="G62" s="39"/>
      <c r="H62" s="39"/>
      <c r="I62" s="39"/>
      <c r="J62" s="39"/>
      <c r="K62" s="39"/>
      <c r="L62" s="39"/>
      <c r="M62" s="39"/>
    </row>
    <row r="63" spans="1:13">
      <c r="A63" s="39"/>
      <c r="B63" s="39"/>
      <c r="C63" s="39"/>
      <c r="D63" s="39"/>
      <c r="E63" s="39"/>
      <c r="F63" s="39"/>
      <c r="G63" s="39"/>
      <c r="H63" s="39"/>
      <c r="I63" s="39"/>
      <c r="J63" s="39"/>
      <c r="K63" s="39"/>
      <c r="L63" s="39"/>
      <c r="M63" s="39"/>
    </row>
    <row r="64" spans="1:13">
      <c r="A64" s="39"/>
      <c r="B64" s="39"/>
      <c r="C64" s="39"/>
      <c r="D64" s="39"/>
      <c r="E64" s="39"/>
      <c r="F64" s="39"/>
      <c r="G64" s="39"/>
      <c r="H64" s="39"/>
      <c r="I64" s="39"/>
      <c r="J64" s="39"/>
      <c r="K64" s="39"/>
      <c r="L64" s="39"/>
      <c r="M64" s="39"/>
    </row>
    <row r="65" spans="1:13">
      <c r="A65" s="39"/>
      <c r="B65" s="39"/>
      <c r="C65" s="39"/>
      <c r="D65" s="39"/>
      <c r="E65" s="39"/>
      <c r="F65" s="39"/>
      <c r="G65" s="39"/>
      <c r="H65" s="39"/>
      <c r="I65" s="39"/>
      <c r="J65" s="39"/>
      <c r="K65" s="39"/>
      <c r="L65" s="39"/>
      <c r="M65" s="39"/>
    </row>
    <row r="66" spans="1:13">
      <c r="A66" s="39"/>
      <c r="B66" s="39"/>
      <c r="C66" s="39"/>
      <c r="D66" s="39"/>
      <c r="E66" s="39"/>
      <c r="F66" s="39"/>
      <c r="G66" s="39"/>
      <c r="H66" s="39"/>
      <c r="I66" s="39"/>
      <c r="J66" s="39"/>
      <c r="K66" s="39"/>
      <c r="L66" s="39"/>
      <c r="M66" s="39"/>
    </row>
    <row r="67" spans="1:13">
      <c r="A67" s="39"/>
      <c r="B67" s="39"/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</row>
    <row r="68" spans="1:13">
      <c r="A68" s="39"/>
      <c r="B68" s="39"/>
      <c r="C68" s="39"/>
      <c r="D68" s="39"/>
      <c r="E68" s="39"/>
      <c r="F68" s="39"/>
      <c r="G68" s="39"/>
      <c r="H68" s="39"/>
      <c r="I68" s="39"/>
      <c r="J68" s="39"/>
      <c r="K68" s="39"/>
      <c r="L68" s="39"/>
      <c r="M68" s="39"/>
    </row>
    <row r="69" spans="1:13">
      <c r="A69" s="39"/>
      <c r="B69" s="39"/>
      <c r="C69" s="39"/>
      <c r="D69" s="39"/>
      <c r="E69" s="39"/>
      <c r="F69" s="39"/>
      <c r="G69" s="39"/>
      <c r="H69" s="39"/>
      <c r="I69" s="39"/>
      <c r="J69" s="39"/>
      <c r="K69" s="39"/>
      <c r="L69" s="39"/>
      <c r="M69" s="39"/>
    </row>
    <row r="70" spans="1:13">
      <c r="A70" s="39"/>
      <c r="B70" s="39"/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</row>
  </sheetData>
  <mergeCells count="12">
    <mergeCell ref="A35:J37"/>
    <mergeCell ref="D6:G6"/>
    <mergeCell ref="D7:G7"/>
    <mergeCell ref="D8:G8"/>
    <mergeCell ref="D9:G9"/>
    <mergeCell ref="A23:B23"/>
    <mergeCell ref="A14:E14"/>
    <mergeCell ref="G14:J14"/>
    <mergeCell ref="G15:J20"/>
    <mergeCell ref="A1:J2"/>
    <mergeCell ref="A3:J3"/>
    <mergeCell ref="A5:G5"/>
  </mergeCells>
  <printOptions horizontalCentered="1"/>
  <pageMargins left="0.25" right="0.25" top="0.5" bottom="0.5" header="0.2" footer="0.2"/>
  <pageSetup paperSize="9" scale="74" fitToHeight="0" orientation="landscape" horizontalDpi="300" verticalDpi="300" r:id="rId1"/>
  <headerFooter>
    <oddFooter>&amp;LGuía Excel básico&amp;C&amp;P de &amp;N&amp;R&amp;D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autoPageBreaks="0" fitToPage="1"/>
  </sheetPr>
  <dimension ref="A1:M70"/>
  <sheetViews>
    <sheetView zoomScaleNormal="100" workbookViewId="0">
      <selection activeCell="B11" sqref="B11:H11"/>
    </sheetView>
  </sheetViews>
  <sheetFormatPr baseColWidth="10" defaultColWidth="8.6640625" defaultRowHeight="14"/>
  <cols>
    <col min="1" max="1" width="11" customWidth="1"/>
    <col min="2" max="2" width="14" customWidth="1"/>
    <col min="3" max="3" width="20" customWidth="1"/>
    <col min="4" max="4" width="17" customWidth="1"/>
    <col min="5" max="5" width="14" customWidth="1"/>
    <col min="6" max="8" width="17" customWidth="1"/>
  </cols>
  <sheetData>
    <row r="1" spans="1:13" ht="16.649999999999999" customHeight="1">
      <c r="A1" s="46" t="s">
        <v>393</v>
      </c>
      <c r="B1" s="47"/>
      <c r="C1" s="47"/>
      <c r="D1" s="47"/>
      <c r="E1" s="47"/>
      <c r="F1" s="47"/>
      <c r="G1" s="47"/>
      <c r="H1" s="48"/>
      <c r="I1" s="39"/>
      <c r="J1" s="39"/>
      <c r="K1" s="39"/>
      <c r="L1" s="39"/>
      <c r="M1" s="39"/>
    </row>
    <row r="2" spans="1:13" ht="16.649999999999999" customHeight="1">
      <c r="A2" s="49"/>
      <c r="B2" s="50"/>
      <c r="C2" s="50"/>
      <c r="D2" s="50"/>
      <c r="E2" s="50"/>
      <c r="F2" s="50"/>
      <c r="G2" s="50"/>
      <c r="H2" s="51"/>
      <c r="I2" s="39"/>
      <c r="J2" s="39"/>
      <c r="K2" s="39"/>
      <c r="L2" s="39"/>
      <c r="M2" s="39"/>
    </row>
    <row r="3" spans="1:13" ht="20" customHeight="1">
      <c r="A3" s="52" t="s">
        <v>394</v>
      </c>
      <c r="B3" s="53"/>
      <c r="C3" s="53"/>
      <c r="D3" s="53"/>
      <c r="E3" s="53"/>
      <c r="F3" s="53"/>
      <c r="G3" s="53"/>
      <c r="H3" s="54"/>
      <c r="I3" s="39"/>
      <c r="J3" s="39"/>
      <c r="K3" s="39"/>
      <c r="L3" s="39"/>
      <c r="M3" s="39"/>
    </row>
    <row r="4" spans="1:13">
      <c r="A4" s="39"/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</row>
    <row r="5" spans="1:13" ht="16" customHeight="1">
      <c r="A5" s="55" t="s">
        <v>395</v>
      </c>
      <c r="B5" s="56"/>
      <c r="C5" s="56"/>
      <c r="D5" s="56"/>
      <c r="E5" s="56"/>
      <c r="F5" s="56"/>
      <c r="G5" s="56"/>
      <c r="H5" s="57"/>
      <c r="I5" s="39"/>
      <c r="J5" s="39"/>
      <c r="K5" s="39"/>
      <c r="L5" s="39"/>
      <c r="M5" s="39"/>
    </row>
    <row r="6" spans="1:13" ht="14.5">
      <c r="A6" s="1" t="s">
        <v>100</v>
      </c>
      <c r="B6" s="59" t="s">
        <v>101</v>
      </c>
      <c r="C6" s="59"/>
      <c r="D6" s="59"/>
      <c r="E6" s="59"/>
      <c r="F6" s="59"/>
      <c r="G6" s="59"/>
      <c r="H6" s="59"/>
      <c r="I6" s="39"/>
      <c r="J6" s="39"/>
      <c r="K6" s="39"/>
      <c r="L6" s="39"/>
      <c r="M6" s="39"/>
    </row>
    <row r="7" spans="1:13" ht="39">
      <c r="A7" s="44" t="s">
        <v>396</v>
      </c>
      <c r="B7" s="58" t="s">
        <v>397</v>
      </c>
      <c r="C7" s="58"/>
      <c r="D7" s="58"/>
      <c r="E7" s="58"/>
      <c r="F7" s="58"/>
      <c r="G7" s="58"/>
      <c r="H7" s="58"/>
      <c r="I7" s="39"/>
      <c r="J7" s="39"/>
      <c r="K7" s="39"/>
      <c r="L7" s="39"/>
      <c r="M7" s="39"/>
    </row>
    <row r="8" spans="1:13" ht="39">
      <c r="A8" s="44" t="s">
        <v>398</v>
      </c>
      <c r="B8" s="58" t="s">
        <v>399</v>
      </c>
      <c r="C8" s="58"/>
      <c r="D8" s="58"/>
      <c r="E8" s="58"/>
      <c r="F8" s="58"/>
      <c r="G8" s="58"/>
      <c r="H8" s="58"/>
      <c r="I8" s="39"/>
      <c r="J8" s="39"/>
      <c r="K8" s="39"/>
      <c r="L8" s="39"/>
      <c r="M8" s="39"/>
    </row>
    <row r="9" spans="1:13" ht="26">
      <c r="A9" s="44" t="s">
        <v>400</v>
      </c>
      <c r="B9" s="58" t="s">
        <v>401</v>
      </c>
      <c r="C9" s="58"/>
      <c r="D9" s="58"/>
      <c r="E9" s="58"/>
      <c r="F9" s="58"/>
      <c r="G9" s="58"/>
      <c r="H9" s="58"/>
      <c r="I9" s="39"/>
      <c r="J9" s="39"/>
      <c r="K9" s="39"/>
      <c r="L9" s="39"/>
      <c r="M9" s="39"/>
    </row>
    <row r="10" spans="1:13" ht="26">
      <c r="A10" s="44" t="s">
        <v>402</v>
      </c>
      <c r="B10" s="58" t="s">
        <v>403</v>
      </c>
      <c r="C10" s="58"/>
      <c r="D10" s="58"/>
      <c r="E10" s="58"/>
      <c r="F10" s="58"/>
      <c r="G10" s="58"/>
      <c r="H10" s="58"/>
      <c r="I10" s="39"/>
      <c r="J10" s="39"/>
      <c r="K10" s="39"/>
      <c r="L10" s="39"/>
      <c r="M10" s="39"/>
    </row>
    <row r="11" spans="1:13" ht="26">
      <c r="A11" s="44" t="s">
        <v>404</v>
      </c>
      <c r="B11" s="58" t="s">
        <v>405</v>
      </c>
      <c r="C11" s="58"/>
      <c r="D11" s="58"/>
      <c r="E11" s="58"/>
      <c r="F11" s="58"/>
      <c r="G11" s="58"/>
      <c r="H11" s="58"/>
      <c r="I11" s="39"/>
      <c r="J11" s="39"/>
      <c r="K11" s="39"/>
      <c r="L11" s="39"/>
      <c r="M11" s="39"/>
    </row>
    <row r="12" spans="1:13" ht="26">
      <c r="A12" s="44" t="s">
        <v>406</v>
      </c>
      <c r="B12" s="58" t="s">
        <v>407</v>
      </c>
      <c r="C12" s="58"/>
      <c r="D12" s="58"/>
      <c r="E12" s="58"/>
      <c r="F12" s="58"/>
      <c r="G12" s="58"/>
      <c r="H12" s="58"/>
      <c r="I12" s="39"/>
      <c r="J12" s="39"/>
      <c r="K12" s="39"/>
      <c r="L12" s="39"/>
      <c r="M12" s="39"/>
    </row>
    <row r="13" spans="1:13" ht="26">
      <c r="A13" s="44" t="s">
        <v>408</v>
      </c>
      <c r="B13" s="58" t="s">
        <v>409</v>
      </c>
      <c r="C13" s="58"/>
      <c r="D13" s="58"/>
      <c r="E13" s="58"/>
      <c r="F13" s="58"/>
      <c r="G13" s="58"/>
      <c r="H13" s="58"/>
      <c r="I13" s="39"/>
      <c r="J13" s="39"/>
      <c r="K13" s="39"/>
      <c r="L13" s="39"/>
      <c r="M13" s="39"/>
    </row>
    <row r="14" spans="1:13">
      <c r="A14" s="39"/>
      <c r="B14" s="39"/>
      <c r="C14" s="39"/>
      <c r="D14" s="39"/>
      <c r="E14" s="39"/>
      <c r="F14" s="39"/>
      <c r="G14" s="39"/>
      <c r="H14" s="39"/>
      <c r="I14" s="39"/>
      <c r="J14" s="39"/>
      <c r="K14" s="39"/>
      <c r="L14" s="39"/>
      <c r="M14" s="39"/>
    </row>
    <row r="15" spans="1:13" ht="16" customHeight="1">
      <c r="A15" s="55" t="s">
        <v>410</v>
      </c>
      <c r="B15" s="56"/>
      <c r="C15" s="56"/>
      <c r="D15" s="56"/>
      <c r="E15" s="56"/>
      <c r="F15" s="56"/>
      <c r="G15" s="56"/>
      <c r="H15" s="57"/>
      <c r="I15" s="39"/>
      <c r="J15" s="39"/>
      <c r="K15" s="39"/>
      <c r="L15" s="39"/>
      <c r="M15" s="39"/>
    </row>
    <row r="16" spans="1:13" ht="14.5">
      <c r="A16" s="1" t="s">
        <v>411</v>
      </c>
      <c r="B16" s="1" t="s">
        <v>132</v>
      </c>
      <c r="C16" s="1" t="s">
        <v>412</v>
      </c>
      <c r="D16" s="1" t="s">
        <v>250</v>
      </c>
      <c r="E16" s="1" t="s">
        <v>185</v>
      </c>
      <c r="F16" s="1" t="s">
        <v>186</v>
      </c>
      <c r="G16" s="1" t="s">
        <v>187</v>
      </c>
      <c r="H16" s="1" t="s">
        <v>188</v>
      </c>
      <c r="I16" s="39"/>
      <c r="J16" s="39"/>
      <c r="K16" s="39"/>
      <c r="L16" s="39"/>
      <c r="M16" s="39"/>
    </row>
    <row r="17" spans="1:13" ht="12.65" customHeight="1">
      <c r="A17" s="31">
        <v>1</v>
      </c>
      <c r="B17" s="19">
        <v>46204</v>
      </c>
      <c r="C17" s="2" t="s">
        <v>413</v>
      </c>
      <c r="D17" s="2" t="s">
        <v>254</v>
      </c>
      <c r="E17" s="2" t="s">
        <v>414</v>
      </c>
      <c r="F17" s="2">
        <v>1</v>
      </c>
      <c r="G17" s="21">
        <v>950000</v>
      </c>
      <c r="H17" s="32">
        <f t="shared" ref="H17:H40" si="0">F17*G17</f>
        <v>950000</v>
      </c>
      <c r="I17" s="39"/>
      <c r="J17" s="39"/>
      <c r="K17" s="39"/>
      <c r="L17" s="39"/>
      <c r="M17" s="39"/>
    </row>
    <row r="18" spans="1:13" ht="12.65" customHeight="1">
      <c r="A18" s="31">
        <v>2</v>
      </c>
      <c r="B18" s="19">
        <v>46205</v>
      </c>
      <c r="C18" s="2" t="s">
        <v>415</v>
      </c>
      <c r="D18" s="2" t="s">
        <v>264</v>
      </c>
      <c r="E18" s="2" t="s">
        <v>378</v>
      </c>
      <c r="F18" s="2">
        <v>2</v>
      </c>
      <c r="G18" s="21">
        <v>180000</v>
      </c>
      <c r="H18" s="32">
        <f t="shared" si="0"/>
        <v>360000</v>
      </c>
      <c r="I18" s="39"/>
      <c r="J18" s="39"/>
      <c r="K18" s="39"/>
      <c r="L18" s="39"/>
      <c r="M18" s="39"/>
    </row>
    <row r="19" spans="1:13" ht="12.65" customHeight="1">
      <c r="A19" s="31">
        <v>3</v>
      </c>
      <c r="B19" s="19">
        <v>46206</v>
      </c>
      <c r="C19" s="2" t="s">
        <v>416</v>
      </c>
      <c r="D19" s="2" t="s">
        <v>258</v>
      </c>
      <c r="E19" s="2" t="s">
        <v>417</v>
      </c>
      <c r="F19" s="2">
        <v>3</v>
      </c>
      <c r="G19" s="21">
        <v>265000</v>
      </c>
      <c r="H19" s="32">
        <f t="shared" si="0"/>
        <v>795000</v>
      </c>
      <c r="I19" s="39"/>
      <c r="J19" s="39"/>
      <c r="K19" s="39"/>
      <c r="L19" s="39"/>
      <c r="M19" s="39"/>
    </row>
    <row r="20" spans="1:13" ht="12.65" customHeight="1">
      <c r="A20" s="31">
        <v>4</v>
      </c>
      <c r="B20" s="19">
        <v>46207</v>
      </c>
      <c r="C20" s="2" t="s">
        <v>418</v>
      </c>
      <c r="D20" s="2" t="s">
        <v>267</v>
      </c>
      <c r="E20" s="2" t="s">
        <v>419</v>
      </c>
      <c r="F20" s="2">
        <v>4</v>
      </c>
      <c r="G20" s="21">
        <v>125000</v>
      </c>
      <c r="H20" s="32">
        <f t="shared" si="0"/>
        <v>500000</v>
      </c>
      <c r="I20" s="39"/>
      <c r="J20" s="39"/>
      <c r="K20" s="39"/>
      <c r="L20" s="39"/>
      <c r="M20" s="39"/>
    </row>
    <row r="21" spans="1:13" ht="12.65" customHeight="1">
      <c r="A21" s="31">
        <v>5</v>
      </c>
      <c r="B21" s="19">
        <v>46208</v>
      </c>
      <c r="C21" s="2" t="s">
        <v>420</v>
      </c>
      <c r="D21" s="2" t="s">
        <v>261</v>
      </c>
      <c r="E21" s="2" t="s">
        <v>421</v>
      </c>
      <c r="F21" s="2">
        <v>5</v>
      </c>
      <c r="G21" s="21">
        <v>145000</v>
      </c>
      <c r="H21" s="32">
        <f t="shared" si="0"/>
        <v>725000</v>
      </c>
      <c r="I21" s="39"/>
      <c r="J21" s="39"/>
      <c r="K21" s="39"/>
      <c r="L21" s="39"/>
      <c r="M21" s="39"/>
    </row>
    <row r="22" spans="1:13" ht="12.65" customHeight="1">
      <c r="A22" s="31">
        <v>6</v>
      </c>
      <c r="B22" s="19">
        <v>46209</v>
      </c>
      <c r="C22" s="2" t="s">
        <v>413</v>
      </c>
      <c r="D22" s="2" t="s">
        <v>254</v>
      </c>
      <c r="E22" s="2" t="s">
        <v>414</v>
      </c>
      <c r="F22" s="2">
        <v>1</v>
      </c>
      <c r="G22" s="21">
        <v>950000</v>
      </c>
      <c r="H22" s="32">
        <f t="shared" si="0"/>
        <v>950000</v>
      </c>
      <c r="I22" s="39"/>
      <c r="J22" s="39"/>
      <c r="K22" s="39"/>
      <c r="L22" s="39"/>
      <c r="M22" s="39"/>
    </row>
    <row r="23" spans="1:13" ht="12.65" customHeight="1">
      <c r="A23" s="31">
        <v>7</v>
      </c>
      <c r="B23" s="19">
        <v>46210</v>
      </c>
      <c r="C23" s="2" t="s">
        <v>415</v>
      </c>
      <c r="D23" s="2" t="s">
        <v>264</v>
      </c>
      <c r="E23" s="2" t="s">
        <v>378</v>
      </c>
      <c r="F23" s="2">
        <v>2</v>
      </c>
      <c r="G23" s="21">
        <v>180000</v>
      </c>
      <c r="H23" s="32">
        <f t="shared" si="0"/>
        <v>360000</v>
      </c>
      <c r="I23" s="39"/>
      <c r="J23" s="39"/>
      <c r="K23" s="39"/>
      <c r="L23" s="39"/>
      <c r="M23" s="39"/>
    </row>
    <row r="24" spans="1:13" ht="12.65" customHeight="1">
      <c r="A24" s="31">
        <v>8</v>
      </c>
      <c r="B24" s="19">
        <v>46211</v>
      </c>
      <c r="C24" s="2" t="s">
        <v>416</v>
      </c>
      <c r="D24" s="2" t="s">
        <v>258</v>
      </c>
      <c r="E24" s="2" t="s">
        <v>417</v>
      </c>
      <c r="F24" s="2">
        <v>3</v>
      </c>
      <c r="G24" s="21">
        <v>265000</v>
      </c>
      <c r="H24" s="32">
        <f t="shared" si="0"/>
        <v>795000</v>
      </c>
      <c r="I24" s="39"/>
      <c r="J24" s="39"/>
      <c r="K24" s="39"/>
      <c r="L24" s="39"/>
      <c r="M24" s="39"/>
    </row>
    <row r="25" spans="1:13" ht="12.65" customHeight="1">
      <c r="A25" s="31">
        <v>9</v>
      </c>
      <c r="B25" s="19">
        <v>46212</v>
      </c>
      <c r="C25" s="2" t="s">
        <v>418</v>
      </c>
      <c r="D25" s="2" t="s">
        <v>267</v>
      </c>
      <c r="E25" s="2" t="s">
        <v>419</v>
      </c>
      <c r="F25" s="2">
        <v>4</v>
      </c>
      <c r="G25" s="21">
        <v>125000</v>
      </c>
      <c r="H25" s="32">
        <f t="shared" si="0"/>
        <v>500000</v>
      </c>
      <c r="I25" s="39"/>
      <c r="J25" s="39"/>
      <c r="K25" s="39"/>
      <c r="L25" s="39"/>
      <c r="M25" s="39"/>
    </row>
    <row r="26" spans="1:13" ht="12.65" customHeight="1">
      <c r="A26" s="31">
        <v>10</v>
      </c>
      <c r="B26" s="19">
        <v>46213</v>
      </c>
      <c r="C26" s="2" t="s">
        <v>420</v>
      </c>
      <c r="D26" s="2" t="s">
        <v>261</v>
      </c>
      <c r="E26" s="2" t="s">
        <v>421</v>
      </c>
      <c r="F26" s="2">
        <v>5</v>
      </c>
      <c r="G26" s="21">
        <v>145000</v>
      </c>
      <c r="H26" s="32">
        <f t="shared" si="0"/>
        <v>725000</v>
      </c>
      <c r="I26" s="39"/>
      <c r="J26" s="39"/>
      <c r="K26" s="39"/>
      <c r="L26" s="39"/>
      <c r="M26" s="39"/>
    </row>
    <row r="27" spans="1:13" ht="12.65" customHeight="1">
      <c r="A27" s="31">
        <v>11</v>
      </c>
      <c r="B27" s="19">
        <v>46214</v>
      </c>
      <c r="C27" s="2" t="s">
        <v>413</v>
      </c>
      <c r="D27" s="2" t="s">
        <v>254</v>
      </c>
      <c r="E27" s="2" t="s">
        <v>414</v>
      </c>
      <c r="F27" s="2">
        <v>1</v>
      </c>
      <c r="G27" s="21">
        <v>950000</v>
      </c>
      <c r="H27" s="32">
        <f t="shared" si="0"/>
        <v>950000</v>
      </c>
      <c r="I27" s="39"/>
      <c r="J27" s="39"/>
      <c r="K27" s="39"/>
      <c r="L27" s="39"/>
      <c r="M27" s="39"/>
    </row>
    <row r="28" spans="1:13" ht="12.65" customHeight="1">
      <c r="A28" s="31">
        <v>12</v>
      </c>
      <c r="B28" s="19">
        <v>46215</v>
      </c>
      <c r="C28" s="2" t="s">
        <v>415</v>
      </c>
      <c r="D28" s="2" t="s">
        <v>264</v>
      </c>
      <c r="E28" s="2" t="s">
        <v>378</v>
      </c>
      <c r="F28" s="2">
        <v>2</v>
      </c>
      <c r="G28" s="21">
        <v>180000</v>
      </c>
      <c r="H28" s="32">
        <f t="shared" si="0"/>
        <v>360000</v>
      </c>
      <c r="I28" s="39"/>
      <c r="J28" s="39"/>
      <c r="K28" s="39"/>
      <c r="L28" s="39"/>
      <c r="M28" s="39"/>
    </row>
    <row r="29" spans="1:13" ht="12.65" customHeight="1">
      <c r="A29" s="31">
        <v>13</v>
      </c>
      <c r="B29" s="19">
        <v>46216</v>
      </c>
      <c r="C29" s="2" t="s">
        <v>416</v>
      </c>
      <c r="D29" s="2" t="s">
        <v>258</v>
      </c>
      <c r="E29" s="2" t="s">
        <v>417</v>
      </c>
      <c r="F29" s="2">
        <v>3</v>
      </c>
      <c r="G29" s="21">
        <v>265000</v>
      </c>
      <c r="H29" s="32">
        <f t="shared" si="0"/>
        <v>795000</v>
      </c>
      <c r="I29" s="39"/>
      <c r="J29" s="39"/>
      <c r="K29" s="39"/>
      <c r="L29" s="39"/>
      <c r="M29" s="39"/>
    </row>
    <row r="30" spans="1:13" ht="12.65" customHeight="1">
      <c r="A30" s="31">
        <v>14</v>
      </c>
      <c r="B30" s="19">
        <v>46217</v>
      </c>
      <c r="C30" s="2" t="s">
        <v>418</v>
      </c>
      <c r="D30" s="2" t="s">
        <v>267</v>
      </c>
      <c r="E30" s="2" t="s">
        <v>419</v>
      </c>
      <c r="F30" s="2">
        <v>4</v>
      </c>
      <c r="G30" s="21">
        <v>125000</v>
      </c>
      <c r="H30" s="32">
        <f t="shared" si="0"/>
        <v>500000</v>
      </c>
      <c r="I30" s="39"/>
      <c r="J30" s="39"/>
      <c r="K30" s="39"/>
      <c r="L30" s="39"/>
      <c r="M30" s="39"/>
    </row>
    <row r="31" spans="1:13" ht="12.65" customHeight="1">
      <c r="A31" s="31">
        <v>15</v>
      </c>
      <c r="B31" s="19">
        <v>46218</v>
      </c>
      <c r="C31" s="2" t="s">
        <v>420</v>
      </c>
      <c r="D31" s="2" t="s">
        <v>261</v>
      </c>
      <c r="E31" s="2" t="s">
        <v>421</v>
      </c>
      <c r="F31" s="2">
        <v>5</v>
      </c>
      <c r="G31" s="21">
        <v>145000</v>
      </c>
      <c r="H31" s="32">
        <f t="shared" si="0"/>
        <v>725000</v>
      </c>
      <c r="I31" s="39"/>
      <c r="J31" s="39"/>
      <c r="K31" s="39"/>
      <c r="L31" s="39"/>
      <c r="M31" s="39"/>
    </row>
    <row r="32" spans="1:13" ht="12.65" customHeight="1">
      <c r="A32" s="31">
        <v>16</v>
      </c>
      <c r="B32" s="19">
        <v>46219</v>
      </c>
      <c r="C32" s="2" t="s">
        <v>413</v>
      </c>
      <c r="D32" s="2" t="s">
        <v>254</v>
      </c>
      <c r="E32" s="2" t="s">
        <v>414</v>
      </c>
      <c r="F32" s="2">
        <v>1</v>
      </c>
      <c r="G32" s="21">
        <v>950000</v>
      </c>
      <c r="H32" s="32">
        <f t="shared" si="0"/>
        <v>950000</v>
      </c>
      <c r="I32" s="39"/>
      <c r="J32" s="39"/>
      <c r="K32" s="39"/>
      <c r="L32" s="39"/>
      <c r="M32" s="39"/>
    </row>
    <row r="33" spans="1:13" ht="12.65" customHeight="1">
      <c r="A33" s="31">
        <v>17</v>
      </c>
      <c r="B33" s="19">
        <v>46220</v>
      </c>
      <c r="C33" s="2" t="s">
        <v>415</v>
      </c>
      <c r="D33" s="2" t="s">
        <v>264</v>
      </c>
      <c r="E33" s="2" t="s">
        <v>378</v>
      </c>
      <c r="F33" s="2">
        <v>2</v>
      </c>
      <c r="G33" s="21">
        <v>180000</v>
      </c>
      <c r="H33" s="32">
        <f t="shared" si="0"/>
        <v>360000</v>
      </c>
      <c r="I33" s="39"/>
      <c r="J33" s="39"/>
      <c r="K33" s="39"/>
      <c r="L33" s="39"/>
      <c r="M33" s="39"/>
    </row>
    <row r="34" spans="1:13" ht="12.65" customHeight="1">
      <c r="A34" s="31">
        <v>18</v>
      </c>
      <c r="B34" s="19">
        <v>46221</v>
      </c>
      <c r="C34" s="2" t="s">
        <v>416</v>
      </c>
      <c r="D34" s="2" t="s">
        <v>258</v>
      </c>
      <c r="E34" s="2" t="s">
        <v>417</v>
      </c>
      <c r="F34" s="2">
        <v>3</v>
      </c>
      <c r="G34" s="21">
        <v>265000</v>
      </c>
      <c r="H34" s="32">
        <f t="shared" si="0"/>
        <v>795000</v>
      </c>
      <c r="I34" s="39"/>
      <c r="J34" s="39"/>
      <c r="K34" s="39"/>
      <c r="L34" s="39"/>
      <c r="M34" s="39"/>
    </row>
    <row r="35" spans="1:13" ht="12.65" customHeight="1">
      <c r="A35" s="31">
        <v>19</v>
      </c>
      <c r="B35" s="19">
        <v>46222</v>
      </c>
      <c r="C35" s="2" t="s">
        <v>418</v>
      </c>
      <c r="D35" s="2" t="s">
        <v>267</v>
      </c>
      <c r="E35" s="2" t="s">
        <v>419</v>
      </c>
      <c r="F35" s="2">
        <v>4</v>
      </c>
      <c r="G35" s="21">
        <v>125000</v>
      </c>
      <c r="H35" s="32">
        <f t="shared" si="0"/>
        <v>500000</v>
      </c>
      <c r="I35" s="39"/>
      <c r="J35" s="39"/>
      <c r="K35" s="39"/>
      <c r="L35" s="39"/>
      <c r="M35" s="39"/>
    </row>
    <row r="36" spans="1:13" ht="12.65" customHeight="1">
      <c r="A36" s="31">
        <v>20</v>
      </c>
      <c r="B36" s="19">
        <v>46223</v>
      </c>
      <c r="C36" s="2" t="s">
        <v>420</v>
      </c>
      <c r="D36" s="2" t="s">
        <v>261</v>
      </c>
      <c r="E36" s="2" t="s">
        <v>421</v>
      </c>
      <c r="F36" s="2">
        <v>5</v>
      </c>
      <c r="G36" s="21">
        <v>145000</v>
      </c>
      <c r="H36" s="32">
        <f t="shared" si="0"/>
        <v>725000</v>
      </c>
      <c r="I36" s="39"/>
      <c r="J36" s="39"/>
      <c r="K36" s="39"/>
      <c r="L36" s="39"/>
      <c r="M36" s="39"/>
    </row>
    <row r="37" spans="1:13" ht="12.65" customHeight="1">
      <c r="A37" s="31">
        <v>21</v>
      </c>
      <c r="B37" s="19">
        <v>46224</v>
      </c>
      <c r="C37" s="2" t="s">
        <v>413</v>
      </c>
      <c r="D37" s="2" t="s">
        <v>254</v>
      </c>
      <c r="E37" s="2" t="s">
        <v>414</v>
      </c>
      <c r="F37" s="2">
        <v>1</v>
      </c>
      <c r="G37" s="21">
        <v>950000</v>
      </c>
      <c r="H37" s="32">
        <f t="shared" si="0"/>
        <v>950000</v>
      </c>
      <c r="I37" s="39"/>
      <c r="J37" s="39"/>
      <c r="K37" s="39"/>
      <c r="L37" s="39"/>
      <c r="M37" s="39"/>
    </row>
    <row r="38" spans="1:13" ht="12.65" customHeight="1">
      <c r="A38" s="31">
        <v>22</v>
      </c>
      <c r="B38" s="19">
        <v>46225</v>
      </c>
      <c r="C38" s="2" t="s">
        <v>415</v>
      </c>
      <c r="D38" s="2" t="s">
        <v>264</v>
      </c>
      <c r="E38" s="2" t="s">
        <v>378</v>
      </c>
      <c r="F38" s="2">
        <v>2</v>
      </c>
      <c r="G38" s="21">
        <v>180000</v>
      </c>
      <c r="H38" s="32">
        <f t="shared" si="0"/>
        <v>360000</v>
      </c>
      <c r="I38" s="39"/>
      <c r="J38" s="39"/>
      <c r="K38" s="39"/>
      <c r="L38" s="39"/>
      <c r="M38" s="39"/>
    </row>
    <row r="39" spans="1:13" ht="12.65" customHeight="1">
      <c r="A39" s="31">
        <v>23</v>
      </c>
      <c r="B39" s="19">
        <v>46226</v>
      </c>
      <c r="C39" s="2" t="s">
        <v>416</v>
      </c>
      <c r="D39" s="2" t="s">
        <v>258</v>
      </c>
      <c r="E39" s="2" t="s">
        <v>417</v>
      </c>
      <c r="F39" s="2">
        <v>3</v>
      </c>
      <c r="G39" s="21">
        <v>265000</v>
      </c>
      <c r="H39" s="32">
        <f t="shared" si="0"/>
        <v>795000</v>
      </c>
      <c r="I39" s="39"/>
      <c r="J39" s="39"/>
      <c r="K39" s="39"/>
      <c r="L39" s="39"/>
      <c r="M39" s="39"/>
    </row>
    <row r="40" spans="1:13" ht="12.65" customHeight="1">
      <c r="A40" s="33">
        <v>24</v>
      </c>
      <c r="B40" s="34">
        <v>46227</v>
      </c>
      <c r="C40" s="35" t="s">
        <v>418</v>
      </c>
      <c r="D40" s="35" t="s">
        <v>267</v>
      </c>
      <c r="E40" s="35" t="s">
        <v>419</v>
      </c>
      <c r="F40" s="35">
        <v>4</v>
      </c>
      <c r="G40" s="36">
        <v>125000</v>
      </c>
      <c r="H40" s="37">
        <f t="shared" si="0"/>
        <v>500000</v>
      </c>
      <c r="I40" s="39"/>
      <c r="J40" s="39"/>
      <c r="K40" s="39"/>
      <c r="L40" s="39"/>
      <c r="M40" s="39"/>
    </row>
    <row r="41" spans="1:13">
      <c r="A41" s="39"/>
      <c r="B41" s="39"/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</row>
    <row r="42" spans="1:13">
      <c r="A42" s="64" t="s">
        <v>422</v>
      </c>
      <c r="B42" s="64"/>
      <c r="C42" s="64"/>
      <c r="D42" s="64"/>
      <c r="E42" s="64"/>
      <c r="F42" s="64"/>
      <c r="G42" s="64"/>
      <c r="H42" s="64"/>
      <c r="I42" s="39"/>
      <c r="J42" s="39"/>
      <c r="K42" s="39"/>
      <c r="L42" s="39"/>
      <c r="M42" s="39"/>
    </row>
    <row r="43" spans="1:13">
      <c r="A43" s="64"/>
      <c r="B43" s="64"/>
      <c r="C43" s="64"/>
      <c r="D43" s="64"/>
      <c r="E43" s="64"/>
      <c r="F43" s="64"/>
      <c r="G43" s="64"/>
      <c r="H43" s="64"/>
      <c r="I43" s="39"/>
      <c r="J43" s="39"/>
      <c r="K43" s="39"/>
      <c r="L43" s="39"/>
      <c r="M43" s="39"/>
    </row>
    <row r="44" spans="1:13">
      <c r="A44" s="64"/>
      <c r="B44" s="64"/>
      <c r="C44" s="64"/>
      <c r="D44" s="64"/>
      <c r="E44" s="64"/>
      <c r="F44" s="64"/>
      <c r="G44" s="64"/>
      <c r="H44" s="64"/>
      <c r="I44" s="39"/>
      <c r="J44" s="39"/>
      <c r="K44" s="39"/>
      <c r="L44" s="39"/>
      <c r="M44" s="39"/>
    </row>
    <row r="45" spans="1:13">
      <c r="A45" s="39"/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</row>
    <row r="46" spans="1:13">
      <c r="A46" s="39"/>
      <c r="B46" s="39"/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</row>
    <row r="47" spans="1:13">
      <c r="A47" s="39"/>
      <c r="B47" s="39"/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</row>
    <row r="48" spans="1:13">
      <c r="A48" s="39"/>
      <c r="B48" s="39"/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</row>
    <row r="49" spans="1:13">
      <c r="A49" s="39"/>
      <c r="B49" s="39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</row>
    <row r="50" spans="1:13">
      <c r="A50" s="39"/>
      <c r="B50" s="39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</row>
    <row r="51" spans="1:13">
      <c r="A51" s="39"/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39"/>
      <c r="M51" s="39"/>
    </row>
    <row r="52" spans="1:13">
      <c r="A52" s="39"/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39"/>
    </row>
    <row r="53" spans="1:13">
      <c r="A53" s="39"/>
      <c r="B53" s="39"/>
      <c r="C53" s="39"/>
      <c r="D53" s="39"/>
      <c r="E53" s="39"/>
      <c r="F53" s="39"/>
      <c r="G53" s="39"/>
      <c r="H53" s="39"/>
      <c r="I53" s="39"/>
      <c r="J53" s="39"/>
      <c r="K53" s="39"/>
      <c r="L53" s="39"/>
      <c r="M53" s="39"/>
    </row>
    <row r="54" spans="1:13">
      <c r="A54" s="39"/>
      <c r="B54" s="39"/>
      <c r="C54" s="39"/>
      <c r="D54" s="39"/>
      <c r="E54" s="39"/>
      <c r="F54" s="39"/>
      <c r="G54" s="39"/>
      <c r="H54" s="39"/>
      <c r="I54" s="39"/>
      <c r="J54" s="39"/>
      <c r="K54" s="39"/>
      <c r="L54" s="39"/>
      <c r="M54" s="39"/>
    </row>
    <row r="55" spans="1:13">
      <c r="A55" s="39"/>
      <c r="B55" s="39"/>
      <c r="C55" s="39"/>
      <c r="D55" s="39"/>
      <c r="E55" s="39"/>
      <c r="F55" s="39"/>
      <c r="G55" s="39"/>
      <c r="H55" s="39"/>
      <c r="I55" s="39"/>
      <c r="J55" s="39"/>
      <c r="K55" s="39"/>
      <c r="L55" s="39"/>
      <c r="M55" s="39"/>
    </row>
    <row r="56" spans="1:13">
      <c r="A56" s="39"/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</row>
    <row r="57" spans="1:13">
      <c r="A57" s="39"/>
      <c r="B57" s="39"/>
      <c r="C57" s="39"/>
      <c r="D57" s="39"/>
      <c r="E57" s="39"/>
      <c r="F57" s="39"/>
      <c r="G57" s="39"/>
      <c r="H57" s="39"/>
      <c r="I57" s="39"/>
      <c r="J57" s="39"/>
      <c r="K57" s="39"/>
      <c r="L57" s="39"/>
      <c r="M57" s="39"/>
    </row>
    <row r="58" spans="1:13">
      <c r="A58" s="39"/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39"/>
    </row>
    <row r="59" spans="1:13">
      <c r="A59" s="39"/>
      <c r="B59" s="39"/>
      <c r="C59" s="39"/>
      <c r="D59" s="39"/>
      <c r="E59" s="39"/>
      <c r="F59" s="39"/>
      <c r="G59" s="39"/>
      <c r="H59" s="39"/>
      <c r="I59" s="39"/>
      <c r="J59" s="39"/>
      <c r="K59" s="39"/>
      <c r="L59" s="39"/>
      <c r="M59" s="39"/>
    </row>
    <row r="60" spans="1:13">
      <c r="A60" s="39"/>
      <c r="B60" s="39"/>
      <c r="C60" s="39"/>
      <c r="D60" s="39"/>
      <c r="E60" s="39"/>
      <c r="F60" s="39"/>
      <c r="G60" s="39"/>
      <c r="H60" s="39"/>
      <c r="I60" s="39"/>
      <c r="J60" s="39"/>
      <c r="K60" s="39"/>
      <c r="L60" s="39"/>
      <c r="M60" s="39"/>
    </row>
    <row r="61" spans="1:13">
      <c r="A61" s="39"/>
      <c r="B61" s="39"/>
      <c r="C61" s="39"/>
      <c r="D61" s="39"/>
      <c r="E61" s="39"/>
      <c r="F61" s="39"/>
      <c r="G61" s="39"/>
      <c r="H61" s="39"/>
      <c r="I61" s="39"/>
      <c r="J61" s="39"/>
      <c r="K61" s="39"/>
      <c r="L61" s="39"/>
      <c r="M61" s="39"/>
    </row>
    <row r="62" spans="1:13">
      <c r="A62" s="39"/>
      <c r="B62" s="39"/>
      <c r="C62" s="39"/>
      <c r="D62" s="39"/>
      <c r="E62" s="39"/>
      <c r="F62" s="39"/>
      <c r="G62" s="39"/>
      <c r="H62" s="39"/>
      <c r="I62" s="39"/>
      <c r="J62" s="39"/>
      <c r="K62" s="39"/>
      <c r="L62" s="39"/>
      <c r="M62" s="39"/>
    </row>
    <row r="63" spans="1:13">
      <c r="A63" s="39"/>
      <c r="B63" s="39"/>
      <c r="C63" s="39"/>
      <c r="D63" s="39"/>
      <c r="E63" s="39"/>
      <c r="F63" s="39"/>
      <c r="G63" s="39"/>
      <c r="H63" s="39"/>
      <c r="I63" s="39"/>
      <c r="J63" s="39"/>
      <c r="K63" s="39"/>
      <c r="L63" s="39"/>
      <c r="M63" s="39"/>
    </row>
    <row r="64" spans="1:13">
      <c r="A64" s="39"/>
      <c r="B64" s="39"/>
      <c r="C64" s="39"/>
      <c r="D64" s="39"/>
      <c r="E64" s="39"/>
      <c r="F64" s="39"/>
      <c r="G64" s="39"/>
      <c r="H64" s="39"/>
      <c r="I64" s="39"/>
      <c r="J64" s="39"/>
      <c r="K64" s="39"/>
      <c r="L64" s="39"/>
      <c r="M64" s="39"/>
    </row>
    <row r="65" spans="1:13">
      <c r="A65" s="39"/>
      <c r="B65" s="39"/>
      <c r="C65" s="39"/>
      <c r="D65" s="39"/>
      <c r="E65" s="39"/>
      <c r="F65" s="39"/>
      <c r="G65" s="39"/>
      <c r="H65" s="39"/>
      <c r="I65" s="39"/>
      <c r="J65" s="39"/>
      <c r="K65" s="39"/>
      <c r="L65" s="39"/>
      <c r="M65" s="39"/>
    </row>
    <row r="66" spans="1:13">
      <c r="A66" s="39"/>
      <c r="B66" s="39"/>
      <c r="C66" s="39"/>
      <c r="D66" s="39"/>
      <c r="E66" s="39"/>
      <c r="F66" s="39"/>
      <c r="G66" s="39"/>
      <c r="H66" s="39"/>
      <c r="I66" s="39"/>
      <c r="J66" s="39"/>
      <c r="K66" s="39"/>
      <c r="L66" s="39"/>
      <c r="M66" s="39"/>
    </row>
    <row r="67" spans="1:13">
      <c r="A67" s="39"/>
      <c r="B67" s="39"/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</row>
    <row r="68" spans="1:13">
      <c r="A68" s="39"/>
      <c r="B68" s="39"/>
      <c r="C68" s="39"/>
      <c r="D68" s="39"/>
      <c r="E68" s="39"/>
      <c r="F68" s="39"/>
      <c r="G68" s="39"/>
      <c r="H68" s="39"/>
      <c r="I68" s="39"/>
      <c r="J68" s="39"/>
      <c r="K68" s="39"/>
      <c r="L68" s="39"/>
      <c r="M68" s="39"/>
    </row>
    <row r="69" spans="1:13">
      <c r="A69" s="39"/>
      <c r="B69" s="39"/>
      <c r="C69" s="39"/>
      <c r="D69" s="39"/>
      <c r="E69" s="39"/>
      <c r="F69" s="39"/>
      <c r="G69" s="39"/>
      <c r="H69" s="39"/>
      <c r="I69" s="39"/>
      <c r="J69" s="39"/>
      <c r="K69" s="39"/>
      <c r="L69" s="39"/>
      <c r="M69" s="39"/>
    </row>
    <row r="70" spans="1:13">
      <c r="A70" s="39"/>
      <c r="B70" s="39"/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</row>
  </sheetData>
  <mergeCells count="13">
    <mergeCell ref="B13:H13"/>
    <mergeCell ref="A15:H15"/>
    <mergeCell ref="A42:H44"/>
    <mergeCell ref="B8:H8"/>
    <mergeCell ref="B9:H9"/>
    <mergeCell ref="B10:H10"/>
    <mergeCell ref="B11:H11"/>
    <mergeCell ref="B12:H12"/>
    <mergeCell ref="A1:H2"/>
    <mergeCell ref="A3:H3"/>
    <mergeCell ref="A5:H5"/>
    <mergeCell ref="B6:H6"/>
    <mergeCell ref="B7:H7"/>
  </mergeCells>
  <printOptions horizontalCentered="1"/>
  <pageMargins left="0.25" right="0.25" top="0.5" bottom="0.5" header="0.2" footer="0.2"/>
  <pageSetup paperSize="9" fitToHeight="0" orientation="landscape" horizontalDpi="300" verticalDpi="300" r:id="rId1"/>
  <headerFooter>
    <oddFooter>&amp;LGuía Excel básico&amp;C&amp;P de &amp;N&amp;R&amp;D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autoPageBreaks="0" fitToPage="1"/>
  </sheetPr>
  <dimension ref="A1:M70"/>
  <sheetViews>
    <sheetView workbookViewId="0">
      <selection activeCell="K14" sqref="K14"/>
    </sheetView>
  </sheetViews>
  <sheetFormatPr baseColWidth="10" defaultColWidth="8.6640625" defaultRowHeight="14"/>
  <cols>
    <col min="1" max="1" width="9" customWidth="1"/>
    <col min="2" max="2" width="14" customWidth="1"/>
    <col min="3" max="3" width="17" customWidth="1"/>
    <col min="4" max="4" width="20" customWidth="1"/>
    <col min="5" max="5" width="16" customWidth="1"/>
    <col min="6" max="6" width="12" customWidth="1"/>
    <col min="7" max="8" width="17" customWidth="1"/>
    <col min="9" max="9" width="18" customWidth="1"/>
    <col min="10" max="10" width="4" customWidth="1"/>
    <col min="11" max="13" width="22" customWidth="1"/>
  </cols>
  <sheetData>
    <row r="1" spans="1:13" ht="16.649999999999999" customHeight="1">
      <c r="A1" s="46" t="s">
        <v>423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8"/>
    </row>
    <row r="2" spans="1:13" ht="16.649999999999999" customHeight="1">
      <c r="A2" s="49"/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1"/>
    </row>
    <row r="3" spans="1:13" ht="20" customHeight="1">
      <c r="A3" s="52" t="s">
        <v>424</v>
      </c>
      <c r="B3" s="53"/>
      <c r="C3" s="53"/>
      <c r="D3" s="53"/>
      <c r="E3" s="53"/>
      <c r="F3" s="53"/>
      <c r="G3" s="53"/>
      <c r="H3" s="53"/>
      <c r="I3" s="53"/>
      <c r="J3" s="53"/>
      <c r="K3" s="53"/>
      <c r="L3" s="53"/>
      <c r="M3" s="54"/>
    </row>
    <row r="4" spans="1:13">
      <c r="A4" s="39"/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</row>
    <row r="5" spans="1:13" ht="16" customHeight="1">
      <c r="A5" s="55" t="s">
        <v>425</v>
      </c>
      <c r="B5" s="56"/>
      <c r="C5" s="56"/>
      <c r="D5" s="56"/>
      <c r="E5" s="56"/>
      <c r="F5" s="56"/>
      <c r="G5" s="56"/>
      <c r="H5" s="56"/>
      <c r="I5" s="56"/>
      <c r="J5" s="56"/>
      <c r="K5" s="56"/>
      <c r="L5" s="56"/>
      <c r="M5" s="57"/>
    </row>
    <row r="6" spans="1:13" ht="14.5">
      <c r="A6" s="1" t="s">
        <v>411</v>
      </c>
      <c r="B6" s="59" t="s">
        <v>426</v>
      </c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</row>
    <row r="7" spans="1:13">
      <c r="A7" s="45">
        <v>1</v>
      </c>
      <c r="B7" s="58" t="s">
        <v>427</v>
      </c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</row>
    <row r="8" spans="1:13">
      <c r="A8" s="45">
        <v>2</v>
      </c>
      <c r="B8" s="58" t="s">
        <v>428</v>
      </c>
      <c r="C8" s="58"/>
      <c r="D8" s="58"/>
      <c r="E8" s="58"/>
      <c r="F8" s="58"/>
      <c r="G8" s="58"/>
      <c r="H8" s="58"/>
      <c r="I8" s="58"/>
      <c r="J8" s="58"/>
      <c r="K8" s="58"/>
      <c r="L8" s="58"/>
      <c r="M8" s="58"/>
    </row>
    <row r="9" spans="1:13">
      <c r="A9" s="45">
        <v>3</v>
      </c>
      <c r="B9" s="58" t="s">
        <v>429</v>
      </c>
      <c r="C9" s="58"/>
      <c r="D9" s="58"/>
      <c r="E9" s="58"/>
      <c r="F9" s="58"/>
      <c r="G9" s="58"/>
      <c r="H9" s="58"/>
      <c r="I9" s="58"/>
      <c r="J9" s="58"/>
      <c r="K9" s="58"/>
      <c r="L9" s="58"/>
      <c r="M9" s="58"/>
    </row>
    <row r="10" spans="1:13">
      <c r="A10" s="45">
        <v>4</v>
      </c>
      <c r="B10" s="58" t="s">
        <v>430</v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</row>
    <row r="11" spans="1:13">
      <c r="A11" s="45">
        <v>5</v>
      </c>
      <c r="B11" s="58" t="s">
        <v>431</v>
      </c>
      <c r="C11" s="58"/>
      <c r="D11" s="58"/>
      <c r="E11" s="58"/>
      <c r="F11" s="58"/>
      <c r="G11" s="58"/>
      <c r="H11" s="58"/>
      <c r="I11" s="58"/>
      <c r="J11" s="58"/>
      <c r="K11" s="58"/>
      <c r="L11" s="58"/>
      <c r="M11" s="58"/>
    </row>
    <row r="12" spans="1:13">
      <c r="A12" s="45">
        <v>6</v>
      </c>
      <c r="B12" s="58" t="s">
        <v>432</v>
      </c>
      <c r="C12" s="58"/>
      <c r="D12" s="58"/>
      <c r="E12" s="58"/>
      <c r="F12" s="58"/>
      <c r="G12" s="58"/>
      <c r="H12" s="58"/>
      <c r="I12" s="58"/>
      <c r="J12" s="58"/>
      <c r="K12" s="58"/>
      <c r="L12" s="58"/>
      <c r="M12" s="58"/>
    </row>
    <row r="13" spans="1:13">
      <c r="A13" s="45">
        <v>7</v>
      </c>
      <c r="B13" s="58" t="s">
        <v>433</v>
      </c>
      <c r="C13" s="58"/>
      <c r="D13" s="58"/>
      <c r="E13" s="58"/>
      <c r="F13" s="58"/>
      <c r="G13" s="58"/>
      <c r="H13" s="58"/>
      <c r="I13" s="58"/>
      <c r="J13" s="58"/>
      <c r="K13" s="58"/>
      <c r="L13" s="58"/>
      <c r="M13" s="58"/>
    </row>
    <row r="14" spans="1:13">
      <c r="A14" s="39"/>
      <c r="B14" s="39"/>
      <c r="C14" s="39"/>
      <c r="D14" s="39"/>
      <c r="E14" s="39"/>
      <c r="F14" s="39"/>
      <c r="G14" s="39"/>
      <c r="H14" s="39"/>
      <c r="I14" s="39"/>
      <c r="J14" s="39"/>
      <c r="K14" s="39"/>
      <c r="L14" s="39"/>
      <c r="M14" s="39"/>
    </row>
    <row r="15" spans="1:13" ht="29">
      <c r="A15" s="1" t="s">
        <v>370</v>
      </c>
      <c r="B15" s="16">
        <v>0.21</v>
      </c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</row>
    <row r="16" spans="1:13">
      <c r="A16" s="39"/>
      <c r="B16" s="39"/>
      <c r="C16" s="39"/>
      <c r="D16" s="39"/>
      <c r="E16" s="39"/>
      <c r="F16" s="39"/>
      <c r="G16" s="39"/>
      <c r="H16" s="39"/>
      <c r="I16" s="39"/>
      <c r="J16" s="39"/>
      <c r="K16" s="39"/>
      <c r="L16" s="39"/>
      <c r="M16" s="39"/>
    </row>
    <row r="17" spans="1:13" ht="14.5">
      <c r="A17" s="1" t="s">
        <v>248</v>
      </c>
      <c r="B17" s="1" t="s">
        <v>132</v>
      </c>
      <c r="C17" s="1" t="s">
        <v>249</v>
      </c>
      <c r="D17" s="1" t="s">
        <v>185</v>
      </c>
      <c r="E17" s="1" t="s">
        <v>251</v>
      </c>
      <c r="F17" s="1" t="s">
        <v>186</v>
      </c>
      <c r="G17" s="1" t="s">
        <v>253</v>
      </c>
      <c r="H17" s="1" t="s">
        <v>375</v>
      </c>
      <c r="I17" s="1" t="s">
        <v>376</v>
      </c>
      <c r="J17" s="39"/>
      <c r="K17" s="1" t="s">
        <v>434</v>
      </c>
      <c r="L17" s="1" t="s">
        <v>381</v>
      </c>
      <c r="M17" s="1" t="s">
        <v>289</v>
      </c>
    </row>
    <row r="18" spans="1:13" ht="13.4" customHeight="1">
      <c r="A18" s="2">
        <v>1</v>
      </c>
      <c r="B18" s="19">
        <v>46204</v>
      </c>
      <c r="C18" s="2" t="s">
        <v>163</v>
      </c>
      <c r="D18" s="2" t="s">
        <v>414</v>
      </c>
      <c r="E18" s="2" t="s">
        <v>255</v>
      </c>
      <c r="F18" s="2">
        <v>1</v>
      </c>
      <c r="G18" s="21">
        <v>880000</v>
      </c>
      <c r="H18" s="22"/>
      <c r="I18" s="22"/>
      <c r="J18" s="39"/>
      <c r="K18" s="7" t="s">
        <v>435</v>
      </c>
      <c r="L18" s="7" t="s">
        <v>436</v>
      </c>
      <c r="M18" s="22"/>
    </row>
    <row r="19" spans="1:13" ht="13.4" customHeight="1">
      <c r="A19" s="2">
        <v>2</v>
      </c>
      <c r="B19" s="19">
        <v>46205</v>
      </c>
      <c r="C19" s="2" t="s">
        <v>257</v>
      </c>
      <c r="D19" s="2" t="s">
        <v>385</v>
      </c>
      <c r="E19" s="2" t="s">
        <v>265</v>
      </c>
      <c r="F19" s="2">
        <v>2</v>
      </c>
      <c r="G19" s="21">
        <v>76000</v>
      </c>
      <c r="H19" s="22"/>
      <c r="I19" s="22"/>
      <c r="J19" s="39"/>
      <c r="K19" s="7" t="s">
        <v>437</v>
      </c>
      <c r="L19" s="7" t="s">
        <v>438</v>
      </c>
      <c r="M19" s="22"/>
    </row>
    <row r="20" spans="1:13" ht="13.4" customHeight="1">
      <c r="A20" s="2">
        <v>3</v>
      </c>
      <c r="B20" s="19">
        <v>46206</v>
      </c>
      <c r="C20" s="2" t="s">
        <v>260</v>
      </c>
      <c r="D20" s="2" t="s">
        <v>378</v>
      </c>
      <c r="E20" s="2" t="s">
        <v>255</v>
      </c>
      <c r="F20" s="2">
        <v>2</v>
      </c>
      <c r="G20" s="21">
        <v>169000</v>
      </c>
      <c r="H20" s="22"/>
      <c r="I20" s="22"/>
      <c r="J20" s="39"/>
      <c r="K20" s="7" t="s">
        <v>439</v>
      </c>
      <c r="L20" s="7" t="s">
        <v>440</v>
      </c>
      <c r="M20" s="38"/>
    </row>
    <row r="21" spans="1:13" ht="13.4" customHeight="1">
      <c r="A21" s="2">
        <v>4</v>
      </c>
      <c r="B21" s="19">
        <v>46207</v>
      </c>
      <c r="C21" s="2" t="s">
        <v>163</v>
      </c>
      <c r="D21" s="2" t="s">
        <v>196</v>
      </c>
      <c r="E21" s="2" t="s">
        <v>259</v>
      </c>
      <c r="F21" s="2">
        <v>5</v>
      </c>
      <c r="G21" s="21">
        <v>18500</v>
      </c>
      <c r="H21" s="22"/>
      <c r="I21" s="22"/>
      <c r="J21" s="39"/>
      <c r="K21" s="7" t="s">
        <v>441</v>
      </c>
      <c r="L21" s="7" t="s">
        <v>442</v>
      </c>
      <c r="M21" s="22"/>
    </row>
    <row r="22" spans="1:13" ht="13.4" customHeight="1">
      <c r="A22" s="2">
        <v>5</v>
      </c>
      <c r="B22" s="19">
        <v>46208</v>
      </c>
      <c r="C22" s="2" t="s">
        <v>263</v>
      </c>
      <c r="D22" s="2" t="s">
        <v>387</v>
      </c>
      <c r="E22" s="2" t="s">
        <v>265</v>
      </c>
      <c r="F22" s="2">
        <v>1</v>
      </c>
      <c r="G22" s="21">
        <v>142000</v>
      </c>
      <c r="H22" s="22"/>
      <c r="I22" s="22"/>
      <c r="J22" s="39"/>
      <c r="K22" s="7" t="s">
        <v>443</v>
      </c>
      <c r="L22" s="7" t="s">
        <v>444</v>
      </c>
      <c r="M22" s="22"/>
    </row>
    <row r="23" spans="1:13" ht="13.4" customHeight="1">
      <c r="A23" s="2">
        <v>6</v>
      </c>
      <c r="B23" s="19">
        <v>46209</v>
      </c>
      <c r="C23" s="2" t="s">
        <v>266</v>
      </c>
      <c r="D23" s="2" t="s">
        <v>419</v>
      </c>
      <c r="E23" s="2" t="s">
        <v>255</v>
      </c>
      <c r="F23" s="2">
        <v>3</v>
      </c>
      <c r="G23" s="21">
        <v>118000</v>
      </c>
      <c r="H23" s="22"/>
      <c r="I23" s="22"/>
      <c r="J23" s="39"/>
      <c r="K23" s="39"/>
      <c r="L23" s="39"/>
      <c r="M23" s="39"/>
    </row>
    <row r="24" spans="1:13" ht="13.4" customHeight="1">
      <c r="A24" s="2">
        <v>7</v>
      </c>
      <c r="B24" s="19">
        <v>46210</v>
      </c>
      <c r="C24" s="2" t="s">
        <v>163</v>
      </c>
      <c r="D24" s="2" t="s">
        <v>421</v>
      </c>
      <c r="E24" s="2" t="s">
        <v>255</v>
      </c>
      <c r="F24" s="2">
        <v>2</v>
      </c>
      <c r="G24" s="21">
        <v>145000</v>
      </c>
      <c r="H24" s="22"/>
      <c r="I24" s="22"/>
      <c r="J24" s="39"/>
      <c r="K24" s="1" t="s">
        <v>445</v>
      </c>
      <c r="L24" s="1" t="s">
        <v>19</v>
      </c>
      <c r="M24" s="1" t="s">
        <v>446</v>
      </c>
    </row>
    <row r="25" spans="1:13" ht="13.4" customHeight="1">
      <c r="A25" s="2">
        <v>8</v>
      </c>
      <c r="B25" s="19">
        <v>46211</v>
      </c>
      <c r="C25" s="2" t="s">
        <v>257</v>
      </c>
      <c r="D25" s="2" t="s">
        <v>388</v>
      </c>
      <c r="E25" s="2" t="s">
        <v>262</v>
      </c>
      <c r="F25" s="2">
        <v>4</v>
      </c>
      <c r="G25" s="21">
        <v>29500</v>
      </c>
      <c r="H25" s="22"/>
      <c r="I25" s="22"/>
      <c r="J25" s="39"/>
      <c r="K25" s="2" t="s">
        <v>447</v>
      </c>
      <c r="L25" s="2" t="s">
        <v>23</v>
      </c>
      <c r="M25" s="2" t="s">
        <v>448</v>
      </c>
    </row>
    <row r="26" spans="1:13" ht="13.4" customHeight="1">
      <c r="A26" s="2">
        <v>9</v>
      </c>
      <c r="B26" s="19">
        <v>46212</v>
      </c>
      <c r="C26" s="2" t="s">
        <v>260</v>
      </c>
      <c r="D26" s="2" t="s">
        <v>193</v>
      </c>
      <c r="E26" s="2" t="s">
        <v>259</v>
      </c>
      <c r="F26" s="2">
        <v>3</v>
      </c>
      <c r="G26" s="21">
        <v>27500</v>
      </c>
      <c r="H26" s="22"/>
      <c r="I26" s="22"/>
      <c r="J26" s="39"/>
      <c r="K26" s="2" t="s">
        <v>449</v>
      </c>
      <c r="L26" s="2" t="s">
        <v>23</v>
      </c>
      <c r="M26" s="2" t="s">
        <v>450</v>
      </c>
    </row>
    <row r="27" spans="1:13" ht="13.4" customHeight="1">
      <c r="A27" s="2">
        <v>10</v>
      </c>
      <c r="B27" s="19">
        <v>46213</v>
      </c>
      <c r="C27" s="2" t="s">
        <v>163</v>
      </c>
      <c r="D27" s="2" t="s">
        <v>417</v>
      </c>
      <c r="E27" s="2" t="s">
        <v>255</v>
      </c>
      <c r="F27" s="2">
        <v>1</v>
      </c>
      <c r="G27" s="21">
        <v>255000</v>
      </c>
      <c r="H27" s="22"/>
      <c r="I27" s="22"/>
      <c r="J27" s="39"/>
      <c r="K27" s="2" t="s">
        <v>451</v>
      </c>
      <c r="L27" s="2" t="s">
        <v>23</v>
      </c>
      <c r="M27" s="2" t="s">
        <v>452</v>
      </c>
    </row>
    <row r="28" spans="1:13" ht="13.4" customHeight="1">
      <c r="A28" s="2">
        <v>11</v>
      </c>
      <c r="B28" s="19">
        <v>46214</v>
      </c>
      <c r="C28" s="2" t="s">
        <v>263</v>
      </c>
      <c r="D28" s="2" t="s">
        <v>389</v>
      </c>
      <c r="E28" s="2" t="s">
        <v>265</v>
      </c>
      <c r="F28" s="2">
        <v>2</v>
      </c>
      <c r="G28" s="21">
        <v>96500</v>
      </c>
      <c r="H28" s="22"/>
      <c r="I28" s="22"/>
      <c r="J28" s="39"/>
      <c r="K28" s="2" t="s">
        <v>453</v>
      </c>
      <c r="L28" s="2" t="s">
        <v>23</v>
      </c>
      <c r="M28" s="2" t="s">
        <v>454</v>
      </c>
    </row>
    <row r="29" spans="1:13" ht="13.4" customHeight="1">
      <c r="A29" s="2">
        <v>12</v>
      </c>
      <c r="B29" s="19">
        <v>46215</v>
      </c>
      <c r="C29" s="2" t="s">
        <v>266</v>
      </c>
      <c r="D29" s="2" t="s">
        <v>198</v>
      </c>
      <c r="E29" s="2" t="s">
        <v>259</v>
      </c>
      <c r="F29" s="2">
        <v>2</v>
      </c>
      <c r="G29" s="21">
        <v>53000</v>
      </c>
      <c r="H29" s="22"/>
      <c r="I29" s="22"/>
      <c r="J29" s="39"/>
      <c r="K29" s="2" t="s">
        <v>455</v>
      </c>
      <c r="L29" s="2" t="s">
        <v>23</v>
      </c>
      <c r="M29" s="2" t="s">
        <v>456</v>
      </c>
    </row>
    <row r="30" spans="1:13" ht="13.4" customHeight="1">
      <c r="A30" s="2">
        <v>13</v>
      </c>
      <c r="B30" s="19">
        <v>46216</v>
      </c>
      <c r="C30" s="2" t="s">
        <v>163</v>
      </c>
      <c r="D30" s="2" t="s">
        <v>200</v>
      </c>
      <c r="E30" s="2" t="s">
        <v>255</v>
      </c>
      <c r="F30" s="2">
        <v>2</v>
      </c>
      <c r="G30" s="21">
        <v>68000</v>
      </c>
      <c r="H30" s="22"/>
      <c r="I30" s="22"/>
      <c r="J30" s="39"/>
      <c r="K30" s="39"/>
      <c r="L30" s="39"/>
      <c r="M30" s="39"/>
    </row>
    <row r="31" spans="1:13" ht="13.4" customHeight="1">
      <c r="A31" s="2">
        <v>14</v>
      </c>
      <c r="B31" s="19">
        <v>46217</v>
      </c>
      <c r="C31" s="2" t="s">
        <v>257</v>
      </c>
      <c r="D31" s="2" t="s">
        <v>391</v>
      </c>
      <c r="E31" s="2" t="s">
        <v>262</v>
      </c>
      <c r="F31" s="2">
        <v>1</v>
      </c>
      <c r="G31" s="21">
        <v>55000</v>
      </c>
      <c r="H31" s="22"/>
      <c r="I31" s="22"/>
      <c r="J31" s="39"/>
      <c r="K31" s="39"/>
      <c r="L31" s="39"/>
      <c r="M31" s="39"/>
    </row>
    <row r="32" spans="1:13">
      <c r="A32" s="39"/>
      <c r="B32" s="39"/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</row>
    <row r="33" spans="1:13">
      <c r="A33" s="39"/>
      <c r="B33" s="39"/>
      <c r="C33" s="39"/>
      <c r="D33" s="39"/>
      <c r="E33" s="39"/>
      <c r="F33" s="39"/>
      <c r="G33" s="39"/>
      <c r="H33" s="39"/>
      <c r="I33" s="39"/>
      <c r="J33" s="39"/>
      <c r="K33" s="39"/>
      <c r="L33" s="39"/>
      <c r="M33" s="39"/>
    </row>
    <row r="34" spans="1:13">
      <c r="A34" s="39"/>
      <c r="B34" s="39"/>
      <c r="C34" s="39"/>
      <c r="D34" s="39"/>
      <c r="E34" s="39"/>
      <c r="F34" s="39"/>
      <c r="G34" s="39"/>
      <c r="H34" s="39"/>
      <c r="I34" s="39"/>
      <c r="J34" s="39"/>
      <c r="K34" s="39"/>
      <c r="L34" s="39"/>
      <c r="M34" s="39"/>
    </row>
    <row r="35" spans="1:13">
      <c r="A35" s="39"/>
      <c r="B35" s="39"/>
      <c r="C35" s="39"/>
      <c r="D35" s="39"/>
      <c r="E35" s="39"/>
      <c r="F35" s="39"/>
      <c r="G35" s="39"/>
      <c r="H35" s="39"/>
      <c r="I35" s="39"/>
      <c r="J35" s="39"/>
      <c r="K35" s="39"/>
      <c r="L35" s="39"/>
      <c r="M35" s="39"/>
    </row>
    <row r="36" spans="1:13">
      <c r="A36" s="39"/>
      <c r="B36" s="39"/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</row>
    <row r="37" spans="1:13">
      <c r="A37" s="39"/>
      <c r="B37" s="39"/>
      <c r="C37" s="39"/>
      <c r="D37" s="39"/>
      <c r="E37" s="39"/>
      <c r="F37" s="39"/>
      <c r="G37" s="39"/>
      <c r="H37" s="39"/>
      <c r="I37" s="39"/>
      <c r="J37" s="39"/>
      <c r="K37" s="39"/>
      <c r="L37" s="39"/>
      <c r="M37" s="39"/>
    </row>
    <row r="38" spans="1:13">
      <c r="A38" s="39"/>
      <c r="B38" s="39"/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</row>
    <row r="39" spans="1:13">
      <c r="A39" s="39"/>
      <c r="B39" s="39"/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</row>
    <row r="40" spans="1:13">
      <c r="A40" s="39"/>
      <c r="B40" s="39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</row>
    <row r="41" spans="1:13">
      <c r="A41" s="39"/>
      <c r="B41" s="39"/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</row>
    <row r="42" spans="1:13">
      <c r="A42" s="39"/>
      <c r="B42" s="39"/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</row>
    <row r="43" spans="1:13">
      <c r="A43" s="39"/>
      <c r="B43" s="39"/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39"/>
    </row>
    <row r="44" spans="1:13">
      <c r="A44" s="39"/>
      <c r="B44" s="39"/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</row>
    <row r="45" spans="1:13">
      <c r="A45" s="39"/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</row>
    <row r="46" spans="1:13">
      <c r="A46" s="39"/>
      <c r="B46" s="39"/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</row>
    <row r="47" spans="1:13">
      <c r="A47" s="39"/>
      <c r="B47" s="39"/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</row>
    <row r="48" spans="1:13">
      <c r="A48" s="39"/>
      <c r="B48" s="39"/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</row>
    <row r="49" spans="1:13">
      <c r="A49" s="39"/>
      <c r="B49" s="39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</row>
    <row r="50" spans="1:13">
      <c r="A50" s="39"/>
      <c r="B50" s="39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</row>
    <row r="51" spans="1:13">
      <c r="A51" s="39"/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39"/>
      <c r="M51" s="39"/>
    </row>
    <row r="52" spans="1:13">
      <c r="A52" s="39"/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39"/>
    </row>
    <row r="53" spans="1:13">
      <c r="A53" s="39"/>
      <c r="B53" s="39"/>
      <c r="C53" s="39"/>
      <c r="D53" s="39"/>
      <c r="E53" s="39"/>
      <c r="F53" s="39"/>
      <c r="G53" s="39"/>
      <c r="H53" s="39"/>
      <c r="I53" s="39"/>
      <c r="J53" s="39"/>
      <c r="K53" s="39"/>
      <c r="L53" s="39"/>
      <c r="M53" s="39"/>
    </row>
    <row r="54" spans="1:13">
      <c r="A54" s="39"/>
      <c r="B54" s="39"/>
      <c r="C54" s="39"/>
      <c r="D54" s="39"/>
      <c r="E54" s="39"/>
      <c r="F54" s="39"/>
      <c r="G54" s="39"/>
      <c r="H54" s="39"/>
      <c r="I54" s="39"/>
      <c r="J54" s="39"/>
      <c r="K54" s="39"/>
      <c r="L54" s="39"/>
      <c r="M54" s="39"/>
    </row>
    <row r="55" spans="1:13">
      <c r="A55" s="39"/>
      <c r="B55" s="39"/>
      <c r="C55" s="39"/>
      <c r="D55" s="39"/>
      <c r="E55" s="39"/>
      <c r="F55" s="39"/>
      <c r="G55" s="39"/>
      <c r="H55" s="39"/>
      <c r="I55" s="39"/>
      <c r="J55" s="39"/>
      <c r="K55" s="39"/>
      <c r="L55" s="39"/>
      <c r="M55" s="39"/>
    </row>
    <row r="56" spans="1:13">
      <c r="A56" s="39"/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</row>
    <row r="57" spans="1:13">
      <c r="A57" s="39"/>
      <c r="B57" s="39"/>
      <c r="C57" s="39"/>
      <c r="D57" s="39"/>
      <c r="E57" s="39"/>
      <c r="F57" s="39"/>
      <c r="G57" s="39"/>
      <c r="H57" s="39"/>
      <c r="I57" s="39"/>
      <c r="J57" s="39"/>
      <c r="K57" s="39"/>
      <c r="L57" s="39"/>
      <c r="M57" s="39"/>
    </row>
    <row r="58" spans="1:13">
      <c r="A58" s="39"/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39"/>
    </row>
    <row r="59" spans="1:13">
      <c r="A59" s="39"/>
      <c r="B59" s="39"/>
      <c r="C59" s="39"/>
      <c r="D59" s="39"/>
      <c r="E59" s="39"/>
      <c r="F59" s="39"/>
      <c r="G59" s="39"/>
      <c r="H59" s="39"/>
      <c r="I59" s="39"/>
      <c r="J59" s="39"/>
      <c r="K59" s="39"/>
      <c r="L59" s="39"/>
      <c r="M59" s="39"/>
    </row>
    <row r="60" spans="1:13">
      <c r="A60" s="39"/>
      <c r="B60" s="39"/>
      <c r="C60" s="39"/>
      <c r="D60" s="39"/>
      <c r="E60" s="39"/>
      <c r="F60" s="39"/>
      <c r="G60" s="39"/>
      <c r="H60" s="39"/>
      <c r="I60" s="39"/>
      <c r="J60" s="39"/>
      <c r="K60" s="39"/>
      <c r="L60" s="39"/>
      <c r="M60" s="39"/>
    </row>
    <row r="61" spans="1:13">
      <c r="A61" s="39"/>
      <c r="B61" s="39"/>
      <c r="C61" s="39"/>
      <c r="D61" s="39"/>
      <c r="E61" s="39"/>
      <c r="F61" s="39"/>
      <c r="G61" s="39"/>
      <c r="H61" s="39"/>
      <c r="I61" s="39"/>
      <c r="J61" s="39"/>
      <c r="K61" s="39"/>
      <c r="L61" s="39"/>
      <c r="M61" s="39"/>
    </row>
    <row r="62" spans="1:13">
      <c r="A62" s="39"/>
      <c r="B62" s="39"/>
      <c r="C62" s="39"/>
      <c r="D62" s="39"/>
      <c r="E62" s="39"/>
      <c r="F62" s="39"/>
      <c r="G62" s="39"/>
      <c r="H62" s="39"/>
      <c r="I62" s="39"/>
      <c r="J62" s="39"/>
      <c r="K62" s="39"/>
      <c r="L62" s="39"/>
      <c r="M62" s="39"/>
    </row>
    <row r="63" spans="1:13">
      <c r="A63" s="39"/>
      <c r="B63" s="39"/>
      <c r="C63" s="39"/>
      <c r="D63" s="39"/>
      <c r="E63" s="39"/>
      <c r="F63" s="39"/>
      <c r="G63" s="39"/>
      <c r="H63" s="39"/>
      <c r="I63" s="39"/>
      <c r="J63" s="39"/>
      <c r="K63" s="39"/>
      <c r="L63" s="39"/>
      <c r="M63" s="39"/>
    </row>
    <row r="64" spans="1:13">
      <c r="A64" s="39"/>
      <c r="B64" s="39"/>
      <c r="C64" s="39"/>
      <c r="D64" s="39"/>
      <c r="E64" s="39"/>
      <c r="F64" s="39"/>
      <c r="G64" s="39"/>
      <c r="H64" s="39"/>
      <c r="I64" s="39"/>
      <c r="J64" s="39"/>
      <c r="K64" s="39"/>
      <c r="L64" s="39"/>
      <c r="M64" s="39"/>
    </row>
    <row r="65" spans="1:13">
      <c r="A65" s="39"/>
      <c r="B65" s="39"/>
      <c r="C65" s="39"/>
      <c r="D65" s="39"/>
      <c r="E65" s="39"/>
      <c r="F65" s="39"/>
      <c r="G65" s="39"/>
      <c r="H65" s="39"/>
      <c r="I65" s="39"/>
      <c r="J65" s="39"/>
      <c r="K65" s="39"/>
      <c r="L65" s="39"/>
      <c r="M65" s="39"/>
    </row>
    <row r="66" spans="1:13">
      <c r="A66" s="39"/>
      <c r="B66" s="39"/>
      <c r="C66" s="39"/>
      <c r="D66" s="39"/>
      <c r="E66" s="39"/>
      <c r="F66" s="39"/>
      <c r="G66" s="39"/>
      <c r="H66" s="39"/>
      <c r="I66" s="39"/>
      <c r="J66" s="39"/>
      <c r="K66" s="39"/>
      <c r="L66" s="39"/>
      <c r="M66" s="39"/>
    </row>
    <row r="67" spans="1:13">
      <c r="A67" s="39"/>
      <c r="B67" s="39"/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</row>
    <row r="68" spans="1:13">
      <c r="A68" s="39"/>
      <c r="B68" s="39"/>
      <c r="C68" s="39"/>
      <c r="D68" s="39"/>
      <c r="E68" s="39"/>
      <c r="F68" s="39"/>
      <c r="G68" s="39"/>
      <c r="H68" s="39"/>
      <c r="I68" s="39"/>
      <c r="J68" s="39"/>
      <c r="K68" s="39"/>
      <c r="L68" s="39"/>
      <c r="M68" s="39"/>
    </row>
    <row r="69" spans="1:13">
      <c r="A69" s="39"/>
      <c r="B69" s="39"/>
      <c r="C69" s="39"/>
      <c r="D69" s="39"/>
      <c r="E69" s="39"/>
      <c r="F69" s="39"/>
      <c r="G69" s="39"/>
      <c r="H69" s="39"/>
      <c r="I69" s="39"/>
      <c r="J69" s="39"/>
      <c r="K69" s="39"/>
      <c r="L69" s="39"/>
      <c r="M69" s="39"/>
    </row>
    <row r="70" spans="1:13">
      <c r="A70" s="39"/>
      <c r="B70" s="39"/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</row>
  </sheetData>
  <mergeCells count="11">
    <mergeCell ref="B13:M13"/>
    <mergeCell ref="B8:M8"/>
    <mergeCell ref="B9:M9"/>
    <mergeCell ref="B10:M10"/>
    <mergeCell ref="B11:M11"/>
    <mergeCell ref="B12:M12"/>
    <mergeCell ref="A1:M2"/>
    <mergeCell ref="A3:M3"/>
    <mergeCell ref="A5:M5"/>
    <mergeCell ref="B6:M6"/>
    <mergeCell ref="B7:M7"/>
  </mergeCells>
  <conditionalFormatting sqref="L25:L29">
    <cfRule type="expression" dxfId="0" priority="1">
      <formula>L25="Completado"</formula>
    </cfRule>
  </conditionalFormatting>
  <dataValidations count="1">
    <dataValidation type="list" sqref="L25:L29" xr:uid="{00000000-0002-0000-0700-000000000000}">
      <formula1>"Pendiente,Completado"</formula1>
    </dataValidation>
  </dataValidations>
  <printOptions horizontalCentered="1"/>
  <pageMargins left="0.25" right="0.25" top="0.5" bottom="0.5" header="0.2" footer="0.2"/>
  <pageSetup paperSize="9" scale="62" fitToHeight="0" orientation="landscape" horizontalDpi="300" verticalDpi="300" r:id="rId1"/>
  <headerFooter>
    <oddFooter>&amp;LGuía Excel básico&amp;C&amp;P de &amp;N&amp;R&amp;D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autoPageBreaks="0" fitToPage="1"/>
  </sheetPr>
  <dimension ref="A1:M70"/>
  <sheetViews>
    <sheetView topLeftCell="A3" workbookViewId="0">
      <selection sqref="A1:J2"/>
    </sheetView>
  </sheetViews>
  <sheetFormatPr baseColWidth="10" defaultColWidth="8.6640625" defaultRowHeight="14"/>
  <cols>
    <col min="1" max="1" width="20" customWidth="1"/>
    <col min="2" max="2" width="24" customWidth="1"/>
    <col min="3" max="3" width="30" customWidth="1"/>
    <col min="4" max="4" width="22" customWidth="1"/>
    <col min="5" max="9" width="18" customWidth="1"/>
    <col min="10" max="10" width="24" customWidth="1"/>
  </cols>
  <sheetData>
    <row r="1" spans="1:13" ht="16.649999999999999" customHeight="1">
      <c r="A1" s="46" t="s">
        <v>457</v>
      </c>
      <c r="B1" s="47"/>
      <c r="C1" s="47"/>
      <c r="D1" s="47"/>
      <c r="E1" s="47"/>
      <c r="F1" s="47"/>
      <c r="G1" s="47"/>
      <c r="H1" s="47"/>
      <c r="I1" s="47"/>
      <c r="J1" s="48"/>
      <c r="K1" s="39"/>
      <c r="L1" s="39"/>
      <c r="M1" s="39"/>
    </row>
    <row r="2" spans="1:13" ht="16.649999999999999" customHeight="1">
      <c r="A2" s="49"/>
      <c r="B2" s="50"/>
      <c r="C2" s="50"/>
      <c r="D2" s="50"/>
      <c r="E2" s="50"/>
      <c r="F2" s="50"/>
      <c r="G2" s="50"/>
      <c r="H2" s="50"/>
      <c r="I2" s="50"/>
      <c r="J2" s="51"/>
      <c r="K2" s="39"/>
      <c r="L2" s="39"/>
      <c r="M2" s="39"/>
    </row>
    <row r="3" spans="1:13" ht="20" customHeight="1">
      <c r="A3" s="52" t="s">
        <v>458</v>
      </c>
      <c r="B3" s="53"/>
      <c r="C3" s="53"/>
      <c r="D3" s="53"/>
      <c r="E3" s="53"/>
      <c r="F3" s="53"/>
      <c r="G3" s="53"/>
      <c r="H3" s="53"/>
      <c r="I3" s="53"/>
      <c r="J3" s="54"/>
      <c r="K3" s="39"/>
      <c r="L3" s="39"/>
      <c r="M3" s="39"/>
    </row>
    <row r="4" spans="1:13">
      <c r="A4" s="39"/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</row>
    <row r="5" spans="1:13" ht="16" customHeight="1">
      <c r="A5" s="55" t="s">
        <v>20</v>
      </c>
      <c r="B5" s="56"/>
      <c r="C5" s="56"/>
      <c r="D5" s="56"/>
      <c r="E5" s="56"/>
      <c r="F5" s="56"/>
      <c r="G5" s="56"/>
      <c r="H5" s="56"/>
      <c r="I5" s="56"/>
      <c r="J5" s="57"/>
      <c r="K5" s="39"/>
      <c r="L5" s="39"/>
      <c r="M5" s="39"/>
    </row>
    <row r="6" spans="1:13" ht="14.5">
      <c r="A6" s="1" t="s">
        <v>459</v>
      </c>
      <c r="B6" s="1" t="s">
        <v>116</v>
      </c>
      <c r="C6" s="59" t="s">
        <v>286</v>
      </c>
      <c r="D6" s="59"/>
      <c r="E6" s="59"/>
      <c r="F6" s="59"/>
      <c r="G6" s="59"/>
      <c r="H6" s="59"/>
      <c r="I6" s="59"/>
      <c r="J6" s="59"/>
      <c r="K6" s="39"/>
      <c r="L6" s="39"/>
      <c r="M6" s="39"/>
    </row>
    <row r="7" spans="1:13">
      <c r="A7" s="9" t="s">
        <v>460</v>
      </c>
      <c r="B7" s="9" t="s">
        <v>148</v>
      </c>
      <c r="C7" s="64" t="s">
        <v>461</v>
      </c>
      <c r="D7" s="64"/>
      <c r="E7" s="64"/>
      <c r="F7" s="64"/>
      <c r="G7" s="64"/>
      <c r="H7" s="64"/>
      <c r="I7" s="64"/>
      <c r="J7" s="64"/>
      <c r="K7" s="39"/>
      <c r="L7" s="39"/>
      <c r="M7" s="39"/>
    </row>
    <row r="8" spans="1:13" ht="26">
      <c r="A8" s="9" t="s">
        <v>150</v>
      </c>
      <c r="B8" s="9" t="s">
        <v>462</v>
      </c>
      <c r="C8" s="64" t="s">
        <v>463</v>
      </c>
      <c r="D8" s="64"/>
      <c r="E8" s="64"/>
      <c r="F8" s="64"/>
      <c r="G8" s="64"/>
      <c r="H8" s="64"/>
      <c r="I8" s="64"/>
      <c r="J8" s="64"/>
      <c r="K8" s="39"/>
      <c r="L8" s="39"/>
      <c r="M8" s="39"/>
    </row>
    <row r="9" spans="1:13">
      <c r="A9" s="9" t="s">
        <v>155</v>
      </c>
      <c r="B9" s="9" t="s">
        <v>156</v>
      </c>
      <c r="C9" s="64" t="s">
        <v>464</v>
      </c>
      <c r="D9" s="64"/>
      <c r="E9" s="64"/>
      <c r="F9" s="64"/>
      <c r="G9" s="64"/>
      <c r="H9" s="64"/>
      <c r="I9" s="64"/>
      <c r="J9" s="64"/>
      <c r="K9" s="39"/>
      <c r="L9" s="39"/>
      <c r="M9" s="39"/>
    </row>
    <row r="10" spans="1:13" ht="26">
      <c r="A10" s="9" t="s">
        <v>61</v>
      </c>
      <c r="B10" s="9" t="s">
        <v>465</v>
      </c>
      <c r="C10" s="64" t="s">
        <v>466</v>
      </c>
      <c r="D10" s="64"/>
      <c r="E10" s="64"/>
      <c r="F10" s="64"/>
      <c r="G10" s="64"/>
      <c r="H10" s="64"/>
      <c r="I10" s="64"/>
      <c r="J10" s="64"/>
      <c r="K10" s="39"/>
      <c r="L10" s="39"/>
      <c r="M10" s="39"/>
    </row>
    <row r="11" spans="1:13">
      <c r="A11" s="39"/>
      <c r="B11" s="39"/>
      <c r="C11" s="39"/>
      <c r="D11" s="39"/>
      <c r="E11" s="39"/>
      <c r="F11" s="39"/>
      <c r="G11" s="39"/>
      <c r="H11" s="39"/>
      <c r="I11" s="39"/>
      <c r="J11" s="39"/>
      <c r="K11" s="39"/>
      <c r="L11" s="39"/>
      <c r="M11" s="39"/>
    </row>
    <row r="12" spans="1:13" ht="16" customHeight="1">
      <c r="A12" s="55" t="s">
        <v>24</v>
      </c>
      <c r="B12" s="56"/>
      <c r="C12" s="56"/>
      <c r="D12" s="56"/>
      <c r="E12" s="56"/>
      <c r="F12" s="56"/>
      <c r="G12" s="56"/>
      <c r="H12" s="56"/>
      <c r="I12" s="56"/>
      <c r="J12" s="57"/>
      <c r="K12" s="39"/>
      <c r="L12" s="39"/>
      <c r="M12" s="39"/>
    </row>
    <row r="13" spans="1:13" ht="14.5">
      <c r="A13" s="1" t="s">
        <v>459</v>
      </c>
      <c r="B13" s="1" t="s">
        <v>289</v>
      </c>
      <c r="C13" s="59" t="s">
        <v>467</v>
      </c>
      <c r="D13" s="59"/>
      <c r="E13" s="59"/>
      <c r="F13" s="59"/>
      <c r="G13" s="59"/>
      <c r="H13" s="59"/>
      <c r="I13" s="59"/>
      <c r="J13" s="59"/>
      <c r="K13" s="39"/>
      <c r="L13" s="39"/>
      <c r="M13" s="39"/>
    </row>
    <row r="14" spans="1:13" ht="39">
      <c r="A14" s="9" t="s">
        <v>468</v>
      </c>
      <c r="B14" s="9" t="s">
        <v>469</v>
      </c>
      <c r="C14" s="64" t="s">
        <v>470</v>
      </c>
      <c r="D14" s="64"/>
      <c r="E14" s="64"/>
      <c r="F14" s="64"/>
      <c r="G14" s="64"/>
      <c r="H14" s="64"/>
      <c r="I14" s="64"/>
      <c r="J14" s="64"/>
      <c r="K14" s="39"/>
      <c r="L14" s="39"/>
      <c r="M14" s="39"/>
    </row>
    <row r="15" spans="1:13" ht="52">
      <c r="A15" s="9" t="s">
        <v>471</v>
      </c>
      <c r="B15" s="9" t="s">
        <v>472</v>
      </c>
      <c r="C15" s="64" t="s">
        <v>473</v>
      </c>
      <c r="D15" s="64"/>
      <c r="E15" s="64"/>
      <c r="F15" s="64"/>
      <c r="G15" s="64"/>
      <c r="H15" s="64"/>
      <c r="I15" s="64"/>
      <c r="J15" s="64"/>
      <c r="K15" s="39"/>
      <c r="L15" s="39"/>
      <c r="M15" s="39"/>
    </row>
    <row r="16" spans="1:13">
      <c r="A16" s="39"/>
      <c r="B16" s="39"/>
      <c r="C16" s="39"/>
      <c r="D16" s="39"/>
      <c r="E16" s="39"/>
      <c r="F16" s="39"/>
      <c r="G16" s="39"/>
      <c r="H16" s="39"/>
      <c r="I16" s="39"/>
      <c r="J16" s="39"/>
      <c r="K16" s="39"/>
      <c r="L16" s="39"/>
      <c r="M16" s="39"/>
    </row>
    <row r="17" spans="1:13" ht="16" customHeight="1">
      <c r="A17" s="55" t="s">
        <v>30</v>
      </c>
      <c r="B17" s="56"/>
      <c r="C17" s="56"/>
      <c r="D17" s="56"/>
      <c r="E17" s="56"/>
      <c r="F17" s="56"/>
      <c r="G17" s="56"/>
      <c r="H17" s="56"/>
      <c r="I17" s="56"/>
      <c r="J17" s="57"/>
      <c r="K17" s="39"/>
      <c r="L17" s="39"/>
      <c r="M17" s="39"/>
    </row>
    <row r="18" spans="1:13" ht="14.5">
      <c r="A18" s="1" t="s">
        <v>332</v>
      </c>
      <c r="B18" s="1" t="s">
        <v>474</v>
      </c>
      <c r="C18" s="1" t="s">
        <v>116</v>
      </c>
      <c r="D18" s="59" t="s">
        <v>475</v>
      </c>
      <c r="E18" s="59"/>
      <c r="F18" s="59"/>
      <c r="G18" s="59"/>
      <c r="H18" s="59"/>
      <c r="I18" s="59"/>
      <c r="J18" s="59"/>
      <c r="K18" s="39"/>
      <c r="L18" s="39"/>
      <c r="M18" s="39"/>
    </row>
    <row r="19" spans="1:13">
      <c r="A19" s="9" t="s">
        <v>335</v>
      </c>
      <c r="B19" s="9" t="s">
        <v>336</v>
      </c>
      <c r="C19" s="30">
        <v>129</v>
      </c>
      <c r="D19" s="69">
        <f>SUM('04_Formulas'!C23:C29)</f>
        <v>129</v>
      </c>
      <c r="E19" s="64"/>
      <c r="F19" s="64"/>
      <c r="G19" s="64"/>
      <c r="H19" s="64"/>
      <c r="I19" s="64"/>
      <c r="J19" s="64"/>
      <c r="K19" s="39"/>
      <c r="L19" s="39"/>
      <c r="M19" s="39"/>
    </row>
    <row r="20" spans="1:13">
      <c r="A20" s="9" t="s">
        <v>338</v>
      </c>
      <c r="B20" s="9" t="s">
        <v>339</v>
      </c>
      <c r="C20" s="30">
        <v>146.85714290000001</v>
      </c>
      <c r="D20" s="69">
        <f>AVERAGE('04_Formulas'!B23:B29)</f>
        <v>146.85714285714286</v>
      </c>
      <c r="E20" s="64"/>
      <c r="F20" s="64"/>
      <c r="G20" s="64"/>
      <c r="H20" s="64"/>
      <c r="I20" s="64"/>
      <c r="J20" s="64"/>
      <c r="K20" s="39"/>
      <c r="L20" s="39"/>
      <c r="M20" s="39"/>
    </row>
    <row r="21" spans="1:13">
      <c r="A21" s="9" t="s">
        <v>476</v>
      </c>
      <c r="B21" s="9" t="s">
        <v>342</v>
      </c>
      <c r="C21" s="30">
        <v>7</v>
      </c>
      <c r="D21" s="69">
        <f>COUNT('04_Formulas'!C23:C29)</f>
        <v>7</v>
      </c>
      <c r="E21" s="64"/>
      <c r="F21" s="64"/>
      <c r="G21" s="64"/>
      <c r="H21" s="64"/>
      <c r="I21" s="64"/>
      <c r="J21" s="64"/>
      <c r="K21" s="39"/>
      <c r="L21" s="39"/>
      <c r="M21" s="39"/>
    </row>
    <row r="22" spans="1:13">
      <c r="A22" s="9" t="s">
        <v>344</v>
      </c>
      <c r="B22" s="9" t="s">
        <v>345</v>
      </c>
      <c r="C22" s="30">
        <v>28</v>
      </c>
      <c r="D22" s="69">
        <f>MAX('04_Formulas'!C23:C29)</f>
        <v>28</v>
      </c>
      <c r="E22" s="64"/>
      <c r="F22" s="64"/>
      <c r="G22" s="64"/>
      <c r="H22" s="64"/>
      <c r="I22" s="64"/>
      <c r="J22" s="64"/>
      <c r="K22" s="39"/>
      <c r="L22" s="39"/>
      <c r="M22" s="39"/>
    </row>
    <row r="23" spans="1:13">
      <c r="A23" s="9" t="s">
        <v>347</v>
      </c>
      <c r="B23" s="9" t="s">
        <v>348</v>
      </c>
      <c r="C23" s="30">
        <v>11</v>
      </c>
      <c r="D23" s="69">
        <f>MIN('04_Formulas'!C23:C29)</f>
        <v>11</v>
      </c>
      <c r="E23" s="64"/>
      <c r="F23" s="64"/>
      <c r="G23" s="64"/>
      <c r="H23" s="64"/>
      <c r="I23" s="64"/>
      <c r="J23" s="64"/>
      <c r="K23" s="39"/>
      <c r="L23" s="39"/>
      <c r="M23" s="39"/>
    </row>
    <row r="24" spans="1:13">
      <c r="A24" s="39"/>
      <c r="B24" s="39"/>
      <c r="C24" s="39"/>
      <c r="D24" s="39"/>
      <c r="E24" s="39"/>
      <c r="F24" s="39"/>
      <c r="G24" s="39"/>
      <c r="H24" s="39"/>
      <c r="I24" s="39"/>
      <c r="J24" s="39"/>
      <c r="K24" s="39"/>
      <c r="L24" s="39"/>
      <c r="M24" s="39"/>
    </row>
    <row r="25" spans="1:13" ht="16" customHeight="1">
      <c r="A25" s="55" t="s">
        <v>33</v>
      </c>
      <c r="B25" s="56"/>
      <c r="C25" s="56"/>
      <c r="D25" s="56"/>
      <c r="E25" s="56"/>
      <c r="F25" s="56"/>
      <c r="G25" s="56"/>
      <c r="H25" s="56"/>
      <c r="I25" s="56"/>
      <c r="J25" s="57"/>
      <c r="K25" s="39"/>
      <c r="L25" s="39"/>
      <c r="M25" s="39"/>
    </row>
    <row r="26" spans="1:13" ht="14.5">
      <c r="A26" s="1" t="s">
        <v>477</v>
      </c>
      <c r="B26" s="1" t="s">
        <v>478</v>
      </c>
      <c r="C26" s="1" t="s">
        <v>43</v>
      </c>
      <c r="D26" s="59" t="s">
        <v>289</v>
      </c>
      <c r="E26" s="59"/>
      <c r="F26" s="59"/>
      <c r="G26" s="59"/>
      <c r="H26" s="59"/>
      <c r="I26" s="59"/>
      <c r="J26" s="59"/>
      <c r="K26" s="39"/>
      <c r="L26" s="39"/>
      <c r="M26" s="39"/>
    </row>
    <row r="27" spans="1:13">
      <c r="A27" s="9" t="s">
        <v>479</v>
      </c>
      <c r="B27" s="9" t="s">
        <v>382</v>
      </c>
      <c r="C27" s="9" t="s">
        <v>480</v>
      </c>
      <c r="D27" s="70">
        <v>76500</v>
      </c>
      <c r="E27" s="64"/>
      <c r="F27" s="64"/>
      <c r="G27" s="64"/>
      <c r="H27" s="64"/>
      <c r="I27" s="64"/>
      <c r="J27" s="64"/>
      <c r="K27" s="39"/>
      <c r="L27" s="39"/>
      <c r="M27" s="39"/>
    </row>
    <row r="28" spans="1:13">
      <c r="A28" s="9" t="s">
        <v>481</v>
      </c>
      <c r="B28" s="9" t="s">
        <v>482</v>
      </c>
      <c r="C28" s="9" t="s">
        <v>483</v>
      </c>
      <c r="D28" s="70">
        <v>130500</v>
      </c>
      <c r="E28" s="64"/>
      <c r="F28" s="64"/>
      <c r="G28" s="64"/>
      <c r="H28" s="64"/>
      <c r="I28" s="64"/>
      <c r="J28" s="64"/>
      <c r="K28" s="39"/>
      <c r="L28" s="39"/>
      <c r="M28" s="39"/>
    </row>
    <row r="29" spans="1:13">
      <c r="A29" s="9" t="s">
        <v>484</v>
      </c>
      <c r="B29" s="9" t="s">
        <v>485</v>
      </c>
      <c r="C29" s="9" t="s">
        <v>483</v>
      </c>
      <c r="D29" s="70">
        <v>28800</v>
      </c>
      <c r="E29" s="64"/>
      <c r="F29" s="64"/>
      <c r="G29" s="64"/>
      <c r="H29" s="64"/>
      <c r="I29" s="64"/>
      <c r="J29" s="64"/>
      <c r="K29" s="39"/>
      <c r="L29" s="39"/>
      <c r="M29" s="39"/>
    </row>
    <row r="30" spans="1:13">
      <c r="A30" s="9" t="s">
        <v>486</v>
      </c>
      <c r="B30" s="9" t="s">
        <v>487</v>
      </c>
      <c r="C30" s="9" t="s">
        <v>483</v>
      </c>
      <c r="D30" s="70">
        <v>89100</v>
      </c>
      <c r="E30" s="64"/>
      <c r="F30" s="64"/>
      <c r="G30" s="64"/>
      <c r="H30" s="64"/>
      <c r="I30" s="64"/>
      <c r="J30" s="64"/>
      <c r="K30" s="39"/>
      <c r="L30" s="39"/>
      <c r="M30" s="39"/>
    </row>
    <row r="31" spans="1:13">
      <c r="A31" s="9" t="s">
        <v>488</v>
      </c>
      <c r="B31" s="9" t="s">
        <v>489</v>
      </c>
      <c r="C31" s="9" t="s">
        <v>483</v>
      </c>
      <c r="D31" s="70">
        <v>16650</v>
      </c>
      <c r="E31" s="64"/>
      <c r="F31" s="64"/>
      <c r="G31" s="64"/>
      <c r="H31" s="64"/>
      <c r="I31" s="64"/>
      <c r="J31" s="64"/>
      <c r="K31" s="39"/>
      <c r="L31" s="39"/>
      <c r="M31" s="39"/>
    </row>
    <row r="32" spans="1:13">
      <c r="A32" s="9" t="s">
        <v>490</v>
      </c>
      <c r="B32" s="9" t="s">
        <v>491</v>
      </c>
      <c r="C32" s="9" t="s">
        <v>483</v>
      </c>
      <c r="D32" s="70">
        <v>51300</v>
      </c>
      <c r="E32" s="64"/>
      <c r="F32" s="64"/>
      <c r="G32" s="64"/>
      <c r="H32" s="64"/>
      <c r="I32" s="64"/>
      <c r="J32" s="64"/>
      <c r="K32" s="39"/>
      <c r="L32" s="39"/>
      <c r="M32" s="39"/>
    </row>
    <row r="33" spans="1:13">
      <c r="A33" s="39"/>
      <c r="B33" s="39"/>
      <c r="C33" s="39"/>
      <c r="D33" s="39"/>
      <c r="E33" s="39"/>
      <c r="F33" s="39"/>
      <c r="G33" s="39"/>
      <c r="H33" s="39"/>
      <c r="I33" s="39"/>
      <c r="J33" s="39"/>
      <c r="K33" s="39"/>
      <c r="L33" s="39"/>
      <c r="M33" s="39"/>
    </row>
    <row r="34" spans="1:13" ht="16" customHeight="1">
      <c r="A34" s="55" t="s">
        <v>39</v>
      </c>
      <c r="B34" s="56"/>
      <c r="C34" s="56"/>
      <c r="D34" s="56"/>
      <c r="E34" s="56"/>
      <c r="F34" s="56"/>
      <c r="G34" s="56"/>
      <c r="H34" s="56"/>
      <c r="I34" s="56"/>
      <c r="J34" s="57"/>
      <c r="K34" s="39"/>
      <c r="L34" s="39"/>
      <c r="M34" s="39"/>
    </row>
    <row r="35" spans="1:13" ht="14.5">
      <c r="A35" s="1" t="s">
        <v>73</v>
      </c>
      <c r="B35" s="1" t="s">
        <v>492</v>
      </c>
      <c r="C35" s="59" t="s">
        <v>493</v>
      </c>
      <c r="D35" s="59"/>
      <c r="E35" s="59"/>
      <c r="F35" s="59"/>
      <c r="G35" s="59"/>
      <c r="H35" s="59"/>
      <c r="I35" s="59"/>
      <c r="J35" s="59"/>
      <c r="K35" s="39"/>
      <c r="L35" s="39"/>
      <c r="M35" s="39"/>
    </row>
    <row r="36" spans="1:13">
      <c r="A36" s="9" t="s">
        <v>494</v>
      </c>
      <c r="B36" s="9" t="s">
        <v>495</v>
      </c>
      <c r="C36" s="64" t="s">
        <v>496</v>
      </c>
      <c r="D36" s="64"/>
      <c r="E36" s="64"/>
      <c r="F36" s="64"/>
      <c r="G36" s="64"/>
      <c r="H36" s="64"/>
      <c r="I36" s="64"/>
      <c r="J36" s="64"/>
      <c r="K36" s="39"/>
      <c r="L36" s="39"/>
      <c r="M36" s="39"/>
    </row>
    <row r="37" spans="1:13">
      <c r="A37" s="9" t="s">
        <v>497</v>
      </c>
      <c r="B37" s="9" t="s">
        <v>498</v>
      </c>
      <c r="C37" s="64" t="s">
        <v>499</v>
      </c>
      <c r="D37" s="64"/>
      <c r="E37" s="64"/>
      <c r="F37" s="64"/>
      <c r="G37" s="64"/>
      <c r="H37" s="64"/>
      <c r="I37" s="64"/>
      <c r="J37" s="64"/>
      <c r="K37" s="39"/>
      <c r="L37" s="39"/>
      <c r="M37" s="39"/>
    </row>
    <row r="38" spans="1:13">
      <c r="A38" s="9" t="s">
        <v>500</v>
      </c>
      <c r="B38" s="9" t="s">
        <v>436</v>
      </c>
      <c r="C38" s="64"/>
      <c r="D38" s="64"/>
      <c r="E38" s="64"/>
      <c r="F38" s="64"/>
      <c r="G38" s="64"/>
      <c r="H38" s="64"/>
      <c r="I38" s="64"/>
      <c r="J38" s="64"/>
      <c r="K38" s="39"/>
      <c r="L38" s="39"/>
      <c r="M38" s="39"/>
    </row>
    <row r="39" spans="1:13">
      <c r="A39" s="9" t="s">
        <v>437</v>
      </c>
      <c r="B39" s="9" t="s">
        <v>438</v>
      </c>
      <c r="C39" s="64"/>
      <c r="D39" s="64"/>
      <c r="E39" s="64"/>
      <c r="F39" s="64"/>
      <c r="G39" s="64"/>
      <c r="H39" s="64"/>
      <c r="I39" s="64"/>
      <c r="J39" s="64"/>
      <c r="K39" s="39"/>
      <c r="L39" s="39"/>
      <c r="M39" s="39"/>
    </row>
    <row r="40" spans="1:13">
      <c r="A40" s="9" t="s">
        <v>439</v>
      </c>
      <c r="B40" s="9" t="s">
        <v>440</v>
      </c>
      <c r="C40" s="64"/>
      <c r="D40" s="64"/>
      <c r="E40" s="64"/>
      <c r="F40" s="64"/>
      <c r="G40" s="64"/>
      <c r="H40" s="64"/>
      <c r="I40" s="64"/>
      <c r="J40" s="64"/>
      <c r="K40" s="39"/>
      <c r="L40" s="39"/>
      <c r="M40" s="39"/>
    </row>
    <row r="41" spans="1:13">
      <c r="A41" s="9" t="s">
        <v>501</v>
      </c>
      <c r="B41" s="9" t="s">
        <v>442</v>
      </c>
      <c r="C41" s="64"/>
      <c r="D41" s="64"/>
      <c r="E41" s="64"/>
      <c r="F41" s="64"/>
      <c r="G41" s="64"/>
      <c r="H41" s="64"/>
      <c r="I41" s="64"/>
      <c r="J41" s="64"/>
      <c r="K41" s="39"/>
      <c r="L41" s="39"/>
      <c r="M41" s="39"/>
    </row>
    <row r="42" spans="1:13">
      <c r="A42" s="9" t="s">
        <v>502</v>
      </c>
      <c r="B42" s="9" t="s">
        <v>444</v>
      </c>
      <c r="C42" s="64"/>
      <c r="D42" s="64"/>
      <c r="E42" s="64"/>
      <c r="F42" s="64"/>
      <c r="G42" s="64"/>
      <c r="H42" s="64"/>
      <c r="I42" s="64"/>
      <c r="J42" s="64"/>
      <c r="K42" s="39"/>
      <c r="L42" s="39"/>
      <c r="M42" s="39"/>
    </row>
    <row r="43" spans="1:13" ht="26">
      <c r="A43" s="9" t="s">
        <v>503</v>
      </c>
      <c r="B43" s="9" t="s">
        <v>504</v>
      </c>
      <c r="C43" s="64" t="s">
        <v>505</v>
      </c>
      <c r="D43" s="64"/>
      <c r="E43" s="64"/>
      <c r="F43" s="64"/>
      <c r="G43" s="64"/>
      <c r="H43" s="64"/>
      <c r="I43" s="64"/>
      <c r="J43" s="64"/>
      <c r="K43" s="39"/>
      <c r="L43" s="39"/>
      <c r="M43" s="39"/>
    </row>
    <row r="44" spans="1:13">
      <c r="A44" s="39"/>
      <c r="B44" s="39"/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</row>
    <row r="45" spans="1:13" ht="29">
      <c r="A45" s="1" t="s">
        <v>506</v>
      </c>
      <c r="B45" s="1" t="s">
        <v>507</v>
      </c>
      <c r="C45" s="1" t="s">
        <v>508</v>
      </c>
      <c r="D45" s="1" t="s">
        <v>509</v>
      </c>
      <c r="E45" s="39"/>
      <c r="F45" s="1" t="s">
        <v>510</v>
      </c>
      <c r="G45" s="1" t="s">
        <v>511</v>
      </c>
      <c r="H45" s="1" t="s">
        <v>512</v>
      </c>
      <c r="I45" s="39"/>
      <c r="J45" s="39"/>
      <c r="K45" s="39"/>
      <c r="L45" s="39"/>
      <c r="M45" s="39"/>
    </row>
    <row r="46" spans="1:13" ht="26">
      <c r="A46" s="9" t="s">
        <v>435</v>
      </c>
      <c r="B46" s="9" t="s">
        <v>513</v>
      </c>
      <c r="C46" s="20">
        <f>SUM(H46:H59)</f>
        <v>3864740</v>
      </c>
      <c r="D46" s="9" t="s">
        <v>514</v>
      </c>
      <c r="E46" s="39"/>
      <c r="F46" s="9">
        <v>18</v>
      </c>
      <c r="G46" s="20">
        <f>'07_Practica_Final'!F18*'07_Practica_Final'!G18</f>
        <v>880000</v>
      </c>
      <c r="H46" s="20">
        <f>G46*(1+'07_Practica_Final'!$B$15)</f>
        <v>1064800</v>
      </c>
      <c r="I46" s="39"/>
      <c r="J46" s="39"/>
      <c r="K46" s="39"/>
      <c r="L46" s="39"/>
      <c r="M46" s="39"/>
    </row>
    <row r="47" spans="1:13">
      <c r="A47" s="9" t="s">
        <v>437</v>
      </c>
      <c r="B47" s="9" t="s">
        <v>515</v>
      </c>
      <c r="C47" s="20">
        <f>AVERAGE(G46:G59)</f>
        <v>228142.85714285713</v>
      </c>
      <c r="D47" s="9" t="s">
        <v>516</v>
      </c>
      <c r="E47" s="39"/>
      <c r="F47" s="9">
        <v>19</v>
      </c>
      <c r="G47" s="20">
        <f>'07_Practica_Final'!F19*'07_Practica_Final'!G19</f>
        <v>152000</v>
      </c>
      <c r="H47" s="20">
        <f>G47*(1+'07_Practica_Final'!$B$15)</f>
        <v>183920</v>
      </c>
      <c r="I47" s="39"/>
      <c r="J47" s="39"/>
      <c r="K47" s="39"/>
      <c r="L47" s="39"/>
      <c r="M47" s="39"/>
    </row>
    <row r="48" spans="1:13">
      <c r="A48" s="9" t="s">
        <v>439</v>
      </c>
      <c r="B48" s="9" t="s">
        <v>517</v>
      </c>
      <c r="C48" s="29">
        <f>COUNT(F46:F59)</f>
        <v>14</v>
      </c>
      <c r="D48" s="9" t="s">
        <v>518</v>
      </c>
      <c r="E48" s="39"/>
      <c r="F48" s="9">
        <v>20</v>
      </c>
      <c r="G48" s="20">
        <f>'07_Practica_Final'!F20*'07_Practica_Final'!G20</f>
        <v>338000</v>
      </c>
      <c r="H48" s="20">
        <f>G48*(1+'07_Practica_Final'!$B$15)</f>
        <v>408980</v>
      </c>
      <c r="I48" s="39"/>
      <c r="J48" s="39"/>
      <c r="K48" s="39"/>
      <c r="L48" s="39"/>
      <c r="M48" s="39"/>
    </row>
    <row r="49" spans="1:13">
      <c r="A49" s="9" t="s">
        <v>441</v>
      </c>
      <c r="B49" s="9" t="s">
        <v>519</v>
      </c>
      <c r="C49" s="20">
        <f>MAX(H46:H59)</f>
        <v>1064800</v>
      </c>
      <c r="D49" s="9" t="s">
        <v>520</v>
      </c>
      <c r="E49" s="39"/>
      <c r="F49" s="9">
        <v>21</v>
      </c>
      <c r="G49" s="20">
        <f>'07_Practica_Final'!F21*'07_Practica_Final'!G21</f>
        <v>92500</v>
      </c>
      <c r="H49" s="20">
        <f>G49*(1+'07_Practica_Final'!$B$15)</f>
        <v>111925</v>
      </c>
      <c r="I49" s="39"/>
      <c r="J49" s="39"/>
      <c r="K49" s="39"/>
      <c r="L49" s="39"/>
      <c r="M49" s="39"/>
    </row>
    <row r="50" spans="1:13">
      <c r="A50" s="9" t="s">
        <v>443</v>
      </c>
      <c r="B50" s="9" t="s">
        <v>521</v>
      </c>
      <c r="C50" s="20">
        <f>MIN(H46:H59)</f>
        <v>66550</v>
      </c>
      <c r="D50" s="9" t="s">
        <v>522</v>
      </c>
      <c r="E50" s="39"/>
      <c r="F50" s="9">
        <v>22</v>
      </c>
      <c r="G50" s="20">
        <f>'07_Practica_Final'!F22*'07_Practica_Final'!G22</f>
        <v>142000</v>
      </c>
      <c r="H50" s="20">
        <f>G50*(1+'07_Practica_Final'!$B$15)</f>
        <v>171820</v>
      </c>
      <c r="I50" s="39"/>
      <c r="J50" s="39"/>
      <c r="K50" s="39"/>
      <c r="L50" s="39"/>
      <c r="M50" s="39"/>
    </row>
    <row r="51" spans="1:13">
      <c r="A51" s="39"/>
      <c r="B51" s="39"/>
      <c r="C51" s="39"/>
      <c r="D51" s="39"/>
      <c r="E51" s="39"/>
      <c r="F51" s="9">
        <v>23</v>
      </c>
      <c r="G51" s="20">
        <f>'07_Practica_Final'!F23*'07_Practica_Final'!G23</f>
        <v>354000</v>
      </c>
      <c r="H51" s="20">
        <f>G51*(1+'07_Practica_Final'!$B$15)</f>
        <v>428340</v>
      </c>
      <c r="I51" s="39"/>
      <c r="J51" s="39"/>
      <c r="K51" s="39"/>
      <c r="L51" s="39"/>
      <c r="M51" s="39"/>
    </row>
    <row r="52" spans="1:13">
      <c r="A52" s="39"/>
      <c r="B52" s="39"/>
      <c r="C52" s="39"/>
      <c r="D52" s="39"/>
      <c r="E52" s="39"/>
      <c r="F52" s="9">
        <v>24</v>
      </c>
      <c r="G52" s="20">
        <f>'07_Practica_Final'!F24*'07_Practica_Final'!G24</f>
        <v>290000</v>
      </c>
      <c r="H52" s="20">
        <f>G52*(1+'07_Practica_Final'!$B$15)</f>
        <v>350900</v>
      </c>
      <c r="I52" s="39"/>
      <c r="J52" s="39"/>
      <c r="K52" s="39"/>
      <c r="L52" s="39"/>
      <c r="M52" s="39"/>
    </row>
    <row r="53" spans="1:13">
      <c r="A53" s="39"/>
      <c r="B53" s="39"/>
      <c r="C53" s="39"/>
      <c r="D53" s="39"/>
      <c r="E53" s="39"/>
      <c r="F53" s="9">
        <v>25</v>
      </c>
      <c r="G53" s="20">
        <f>'07_Practica_Final'!F25*'07_Practica_Final'!G25</f>
        <v>118000</v>
      </c>
      <c r="H53" s="20">
        <f>G53*(1+'07_Practica_Final'!$B$15)</f>
        <v>142780</v>
      </c>
      <c r="I53" s="39"/>
      <c r="J53" s="39"/>
      <c r="K53" s="39"/>
      <c r="L53" s="39"/>
      <c r="M53" s="39"/>
    </row>
    <row r="54" spans="1:13">
      <c r="A54" s="39"/>
      <c r="B54" s="39"/>
      <c r="C54" s="39"/>
      <c r="D54" s="39"/>
      <c r="E54" s="39"/>
      <c r="F54" s="9">
        <v>26</v>
      </c>
      <c r="G54" s="20">
        <f>'07_Practica_Final'!F26*'07_Practica_Final'!G26</f>
        <v>82500</v>
      </c>
      <c r="H54" s="20">
        <f>G54*(1+'07_Practica_Final'!$B$15)</f>
        <v>99825</v>
      </c>
      <c r="I54" s="39"/>
      <c r="J54" s="39"/>
      <c r="K54" s="39"/>
      <c r="L54" s="39"/>
      <c r="M54" s="39"/>
    </row>
    <row r="55" spans="1:13">
      <c r="A55" s="39"/>
      <c r="B55" s="39"/>
      <c r="C55" s="39"/>
      <c r="D55" s="39"/>
      <c r="E55" s="39"/>
      <c r="F55" s="9">
        <v>27</v>
      </c>
      <c r="G55" s="20">
        <f>'07_Practica_Final'!F27*'07_Practica_Final'!G27</f>
        <v>255000</v>
      </c>
      <c r="H55" s="20">
        <f>G55*(1+'07_Practica_Final'!$B$15)</f>
        <v>308550</v>
      </c>
      <c r="I55" s="39"/>
      <c r="J55" s="39"/>
      <c r="K55" s="39"/>
      <c r="L55" s="39"/>
      <c r="M55" s="39"/>
    </row>
    <row r="56" spans="1:13">
      <c r="A56" s="39"/>
      <c r="B56" s="39"/>
      <c r="C56" s="39"/>
      <c r="D56" s="39"/>
      <c r="E56" s="39"/>
      <c r="F56" s="9">
        <v>28</v>
      </c>
      <c r="G56" s="20">
        <f>'07_Practica_Final'!F28*'07_Practica_Final'!G28</f>
        <v>193000</v>
      </c>
      <c r="H56" s="20">
        <f>G56*(1+'07_Practica_Final'!$B$15)</f>
        <v>233530</v>
      </c>
      <c r="I56" s="39"/>
      <c r="J56" s="39"/>
      <c r="K56" s="39"/>
      <c r="L56" s="39"/>
      <c r="M56" s="39"/>
    </row>
    <row r="57" spans="1:13">
      <c r="A57" s="39"/>
      <c r="B57" s="39"/>
      <c r="C57" s="39"/>
      <c r="D57" s="39"/>
      <c r="E57" s="39"/>
      <c r="F57" s="9">
        <v>29</v>
      </c>
      <c r="G57" s="20">
        <f>'07_Practica_Final'!F29*'07_Practica_Final'!G29</f>
        <v>106000</v>
      </c>
      <c r="H57" s="20">
        <f>G57*(1+'07_Practica_Final'!$B$15)</f>
        <v>128260</v>
      </c>
      <c r="I57" s="39"/>
      <c r="J57" s="39"/>
      <c r="K57" s="39"/>
      <c r="L57" s="39"/>
      <c r="M57" s="39"/>
    </row>
    <row r="58" spans="1:13">
      <c r="A58" s="39"/>
      <c r="B58" s="39"/>
      <c r="C58" s="39"/>
      <c r="D58" s="39"/>
      <c r="E58" s="39"/>
      <c r="F58" s="9">
        <v>30</v>
      </c>
      <c r="G58" s="20">
        <f>'07_Practica_Final'!F30*'07_Practica_Final'!G30</f>
        <v>136000</v>
      </c>
      <c r="H58" s="20">
        <f>G58*(1+'07_Practica_Final'!$B$15)</f>
        <v>164560</v>
      </c>
      <c r="I58" s="39"/>
      <c r="J58" s="39"/>
      <c r="K58" s="39"/>
      <c r="L58" s="39"/>
      <c r="M58" s="39"/>
    </row>
    <row r="59" spans="1:13">
      <c r="A59" s="39"/>
      <c r="B59" s="39"/>
      <c r="C59" s="39"/>
      <c r="D59" s="39"/>
      <c r="E59" s="39"/>
      <c r="F59" s="9">
        <v>31</v>
      </c>
      <c r="G59" s="20">
        <f>'07_Practica_Final'!F31*'07_Practica_Final'!G31</f>
        <v>55000</v>
      </c>
      <c r="H59" s="20">
        <f>G59*(1+'07_Practica_Final'!$B$15)</f>
        <v>66550</v>
      </c>
      <c r="I59" s="39"/>
      <c r="J59" s="39"/>
      <c r="K59" s="39"/>
      <c r="L59" s="39"/>
      <c r="M59" s="39"/>
    </row>
    <row r="60" spans="1:13">
      <c r="A60" s="39"/>
      <c r="B60" s="39"/>
      <c r="C60" s="39"/>
      <c r="D60" s="39"/>
      <c r="E60" s="39"/>
      <c r="F60" s="39"/>
      <c r="G60" s="39"/>
      <c r="H60" s="39"/>
      <c r="I60" s="39"/>
      <c r="J60" s="39"/>
      <c r="K60" s="39"/>
      <c r="L60" s="39"/>
      <c r="M60" s="39"/>
    </row>
    <row r="61" spans="1:13">
      <c r="A61" s="39"/>
      <c r="B61" s="39"/>
      <c r="C61" s="39"/>
      <c r="D61" s="39"/>
      <c r="E61" s="39"/>
      <c r="F61" s="39"/>
      <c r="G61" s="39"/>
      <c r="H61" s="39"/>
      <c r="I61" s="39"/>
      <c r="J61" s="39"/>
      <c r="K61" s="39"/>
      <c r="L61" s="39"/>
      <c r="M61" s="39"/>
    </row>
    <row r="62" spans="1:13">
      <c r="A62" s="39"/>
      <c r="B62" s="39"/>
      <c r="C62" s="39"/>
      <c r="D62" s="39"/>
      <c r="E62" s="39"/>
      <c r="F62" s="39"/>
      <c r="G62" s="39"/>
      <c r="H62" s="39"/>
      <c r="I62" s="39"/>
      <c r="J62" s="39"/>
      <c r="K62" s="39"/>
      <c r="L62" s="39"/>
      <c r="M62" s="39"/>
    </row>
    <row r="63" spans="1:13">
      <c r="A63" s="39"/>
      <c r="B63" s="39"/>
      <c r="C63" s="39"/>
      <c r="D63" s="39"/>
      <c r="E63" s="39"/>
      <c r="F63" s="39"/>
      <c r="G63" s="39"/>
      <c r="H63" s="39"/>
      <c r="I63" s="39"/>
      <c r="J63" s="39"/>
      <c r="K63" s="39"/>
      <c r="L63" s="39"/>
      <c r="M63" s="39"/>
    </row>
    <row r="64" spans="1:13">
      <c r="A64" s="39"/>
      <c r="B64" s="39"/>
      <c r="C64" s="39"/>
      <c r="D64" s="39"/>
      <c r="E64" s="39"/>
      <c r="F64" s="39"/>
      <c r="G64" s="39"/>
      <c r="H64" s="39"/>
      <c r="I64" s="39"/>
      <c r="J64" s="39"/>
      <c r="K64" s="39"/>
      <c r="L64" s="39"/>
      <c r="M64" s="39"/>
    </row>
    <row r="65" spans="1:13">
      <c r="A65" s="39"/>
      <c r="B65" s="39"/>
      <c r="C65" s="39"/>
      <c r="D65" s="39"/>
      <c r="E65" s="39"/>
      <c r="F65" s="39"/>
      <c r="G65" s="39"/>
      <c r="H65" s="39"/>
      <c r="I65" s="39"/>
      <c r="J65" s="39"/>
      <c r="K65" s="39"/>
      <c r="L65" s="39"/>
      <c r="M65" s="39"/>
    </row>
    <row r="66" spans="1:13">
      <c r="A66" s="39"/>
      <c r="B66" s="39"/>
      <c r="C66" s="39"/>
      <c r="D66" s="39"/>
      <c r="E66" s="39"/>
      <c r="F66" s="39"/>
      <c r="G66" s="39"/>
      <c r="H66" s="39"/>
      <c r="I66" s="39"/>
      <c r="J66" s="39"/>
      <c r="K66" s="39"/>
      <c r="L66" s="39"/>
      <c r="M66" s="39"/>
    </row>
    <row r="67" spans="1:13">
      <c r="A67" s="39"/>
      <c r="B67" s="39"/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</row>
    <row r="68" spans="1:13">
      <c r="A68" s="39"/>
      <c r="B68" s="39"/>
      <c r="C68" s="39"/>
      <c r="D68" s="39"/>
      <c r="E68" s="39"/>
      <c r="F68" s="39"/>
      <c r="G68" s="39"/>
      <c r="H68" s="39"/>
      <c r="I68" s="39"/>
      <c r="J68" s="39"/>
      <c r="K68" s="39"/>
      <c r="L68" s="39"/>
      <c r="M68" s="39"/>
    </row>
    <row r="69" spans="1:13">
      <c r="A69" s="39"/>
      <c r="B69" s="39"/>
      <c r="C69" s="39"/>
      <c r="D69" s="39"/>
      <c r="E69" s="39"/>
      <c r="F69" s="39"/>
      <c r="G69" s="39"/>
      <c r="H69" s="39"/>
      <c r="I69" s="39"/>
      <c r="J69" s="39"/>
      <c r="K69" s="39"/>
      <c r="L69" s="39"/>
      <c r="M69" s="39"/>
    </row>
    <row r="70" spans="1:13">
      <c r="A70" s="39"/>
      <c r="B70" s="39"/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</row>
  </sheetData>
  <mergeCells count="37">
    <mergeCell ref="C42:J42"/>
    <mergeCell ref="C43:J43"/>
    <mergeCell ref="C37:J37"/>
    <mergeCell ref="C38:J38"/>
    <mergeCell ref="C39:J39"/>
    <mergeCell ref="C40:J40"/>
    <mergeCell ref="C41:J41"/>
    <mergeCell ref="D31:J31"/>
    <mergeCell ref="D32:J32"/>
    <mergeCell ref="A34:J34"/>
    <mergeCell ref="C35:J35"/>
    <mergeCell ref="C36:J36"/>
    <mergeCell ref="D26:J26"/>
    <mergeCell ref="D27:J27"/>
    <mergeCell ref="D28:J28"/>
    <mergeCell ref="D29:J29"/>
    <mergeCell ref="D30:J30"/>
    <mergeCell ref="D20:J20"/>
    <mergeCell ref="D21:J21"/>
    <mergeCell ref="D22:J22"/>
    <mergeCell ref="D23:J23"/>
    <mergeCell ref="A25:J25"/>
    <mergeCell ref="C14:J14"/>
    <mergeCell ref="C15:J15"/>
    <mergeCell ref="A17:J17"/>
    <mergeCell ref="D18:J18"/>
    <mergeCell ref="D19:J19"/>
    <mergeCell ref="C8:J8"/>
    <mergeCell ref="C9:J9"/>
    <mergeCell ref="C10:J10"/>
    <mergeCell ref="A12:J12"/>
    <mergeCell ref="C13:J13"/>
    <mergeCell ref="A1:J2"/>
    <mergeCell ref="A3:J3"/>
    <mergeCell ref="A5:J5"/>
    <mergeCell ref="C6:J6"/>
    <mergeCell ref="C7:J7"/>
  </mergeCells>
  <printOptions horizontalCentered="1"/>
  <pageMargins left="0.25" right="0.25" top="0.5" bottom="0.5" header="0.2" footer="0.2"/>
  <pageSetup paperSize="9" scale="62" fitToHeight="0" orientation="landscape" horizontalDpi="300" verticalDpi="300" r:id="rId1"/>
  <headerFooter>
    <oddFooter>&amp;LGuía Excel básico&amp;C&amp;P de &amp;N&amp;R&amp;D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FE3F076-6283-4504-AE7B-15422B166890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00_Inicio</vt:lpstr>
      <vt:lpstr>01_Interfaz_Celdas</vt:lpstr>
      <vt:lpstr>02_Copiar_Pegar</vt:lpstr>
      <vt:lpstr>03_Listas_Datos</vt:lpstr>
      <vt:lpstr>04_Formulas</vt:lpstr>
      <vt:lpstr>05_Referencias</vt:lpstr>
      <vt:lpstr>06_Impresion_PDF</vt:lpstr>
      <vt:lpstr>07_Practica_Final</vt:lpstr>
      <vt:lpstr>08_Soluciones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Iriarte, Amiel Christian</dc:creator>
  <cp:lastModifiedBy>Iriarte, Amiel Christian</cp:lastModifiedBy>
  <cp:lastPrinted>2026-07-26T05:03:14Z</cp:lastPrinted>
  <dcterms:modified xsi:type="dcterms:W3CDTF">2026-07-27T15:03:14Z</dcterms:modified>
</cp:coreProperties>
</file>